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4F00B6EF-2920-426D-BD59-302086248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atings" sheetId="2" r:id="rId2"/>
    <sheet name="Holdings" sheetId="3" r:id="rId3"/>
    <sheet name="Dividends" sheetId="4" r:id="rId4"/>
    <sheet name="excel" sheetId="5" r:id="rId5"/>
    <sheet name="Excel view including prices" sheetId="6" r:id="rId6"/>
    <sheet name="allocation overview" sheetId="7" r:id="rId7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<sst xmlns="http://schemas.openxmlformats.org/spreadsheetml/2006/main" count="2227" uniqueCount="335">
  <si>
    <t>Symbol</t>
  </si>
  <si>
    <t>Price</t>
  </si>
  <si>
    <t>Change</t>
  </si>
  <si>
    <t>Change %</t>
  </si>
  <si>
    <t>Weight</t>
  </si>
  <si>
    <t>Volume</t>
  </si>
  <si>
    <t>Avg. Vol</t>
  </si>
  <si>
    <t>Prev Close</t>
  </si>
  <si>
    <t>Open</t>
  </si>
  <si>
    <t>Day Low</t>
  </si>
  <si>
    <t>Day High</t>
  </si>
  <si>
    <t>52W Low</t>
  </si>
  <si>
    <t>52W High</t>
  </si>
  <si>
    <t>Quant Rating</t>
  </si>
  <si>
    <t>SA Analyst Ratings</t>
  </si>
  <si>
    <t>Wall Street Ratings</t>
  </si>
  <si>
    <t>AEM</t>
  </si>
  <si>
    <t>ANET</t>
  </si>
  <si>
    <t>ASML</t>
  </si>
  <si>
    <t>B</t>
  </si>
  <si>
    <t>BTI</t>
  </si>
  <si>
    <t>CGDV</t>
  </si>
  <si>
    <t>-</t>
  </si>
  <si>
    <t>ERO</t>
  </si>
  <si>
    <t>IONQ</t>
  </si>
  <si>
    <t>KRMN</t>
  </si>
  <si>
    <t>KTOS</t>
  </si>
  <si>
    <t>LHX</t>
  </si>
  <si>
    <t>LMT</t>
  </si>
  <si>
    <t>NASA</t>
  </si>
  <si>
    <t>NBIX</t>
  </si>
  <si>
    <t>NEM</t>
  </si>
  <si>
    <t>NOC</t>
  </si>
  <si>
    <t>ONDS</t>
  </si>
  <si>
    <t>ORCL</t>
  </si>
  <si>
    <t>PAAS</t>
  </si>
  <si>
    <t>PM</t>
  </si>
  <si>
    <t>PPA</t>
  </si>
  <si>
    <t>PR</t>
  </si>
  <si>
    <t>SCHY</t>
  </si>
  <si>
    <t>TATT</t>
  </si>
  <si>
    <t>USAR</t>
  </si>
  <si>
    <t>Quant Score</t>
  </si>
  <si>
    <t>SA Analysts Score</t>
  </si>
  <si>
    <t>Wall St. Score</t>
  </si>
  <si>
    <t>Valuation Grade</t>
  </si>
  <si>
    <t>Growth Grade</t>
  </si>
  <si>
    <t>Profitability Grade</t>
  </si>
  <si>
    <t>Momentum Grade</t>
  </si>
  <si>
    <t>EPS Revision Grade</t>
  </si>
  <si>
    <t>ETF Momentum</t>
  </si>
  <si>
    <t>ETF Expenses</t>
  </si>
  <si>
    <t>ETF Dividends</t>
  </si>
  <si>
    <t>ETF Risk</t>
  </si>
  <si>
    <t>ETF Liquidity</t>
  </si>
  <si>
    <t>D-</t>
  </si>
  <si>
    <t>D+</t>
  </si>
  <si>
    <t>A+</t>
  </si>
  <si>
    <t>C</t>
  </si>
  <si>
    <t>C-</t>
  </si>
  <si>
    <t>D</t>
  </si>
  <si>
    <t>B+</t>
  </si>
  <si>
    <t>F</t>
  </si>
  <si>
    <t>A-</t>
  </si>
  <si>
    <t>C+</t>
  </si>
  <si>
    <t>B-</t>
  </si>
  <si>
    <t>A</t>
  </si>
  <si>
    <t>Shares</t>
  </si>
  <si>
    <t>Cost</t>
  </si>
  <si>
    <t>Today`s Gain</t>
  </si>
  <si>
    <t>Today`s % Gain</t>
  </si>
  <si>
    <t>Est Annual Income</t>
  </si>
  <si>
    <t>Total Change</t>
  </si>
  <si>
    <t>Total % Change</t>
  </si>
  <si>
    <t>Value</t>
  </si>
  <si>
    <t>$162.00</t>
  </si>
  <si>
    <t>$145.37</t>
  </si>
  <si>
    <t>$436.59</t>
  </si>
  <si>
    <t>$1,769.88</t>
  </si>
  <si>
    <t>$4,149.40</t>
  </si>
  <si>
    <t>$353.04</t>
  </si>
  <si>
    <t>$317.74</t>
  </si>
  <si>
    <t>$1,029.70</t>
  </si>
  <si>
    <t>$1,373.91</t>
  </si>
  <si>
    <t>$1,075.01</t>
  </si>
  <si>
    <t>$700.00</t>
  </si>
  <si>
    <t>$966.00</t>
  </si>
  <si>
    <t>$156.00</t>
  </si>
  <si>
    <t>$691.60</t>
  </si>
  <si>
    <t>$1,780.00</t>
  </si>
  <si>
    <t>$890.00</t>
  </si>
  <si>
    <t>$288.00</t>
  </si>
  <si>
    <t>$1,440.60</t>
  </si>
  <si>
    <t>$1,117.20</t>
  </si>
  <si>
    <t>$323.40</t>
  </si>
  <si>
    <t>$269.00</t>
  </si>
  <si>
    <t>$54.34</t>
  </si>
  <si>
    <t>$62.50</t>
  </si>
  <si>
    <t>$97.82</t>
  </si>
  <si>
    <t>$460.80</t>
  </si>
  <si>
    <t>$4,713.72</t>
  </si>
  <si>
    <t>$2,142.60</t>
  </si>
  <si>
    <t>$2,571.12</t>
  </si>
  <si>
    <t>TOTAL</t>
  </si>
  <si>
    <t/>
  </si>
  <si>
    <t>$18,128.96</t>
  </si>
  <si>
    <t>Safety</t>
  </si>
  <si>
    <t>Growth</t>
  </si>
  <si>
    <t>Yield</t>
  </si>
  <si>
    <t>Consistency</t>
  </si>
  <si>
    <t>Ex-Div Date</t>
  </si>
  <si>
    <t>Payout Date</t>
  </si>
  <si>
    <t>Frequency</t>
  </si>
  <si>
    <t>Yield TTM</t>
  </si>
  <si>
    <t>Yield FWD</t>
  </si>
  <si>
    <t>4Y Avg Yield</t>
  </si>
  <si>
    <t>Div Rate TTM</t>
  </si>
  <si>
    <t>Div Rate FWD</t>
  </si>
  <si>
    <t>Payout Ratio</t>
  </si>
  <si>
    <t>4Y Avg Payout</t>
  </si>
  <si>
    <t>Div Growth 3Y</t>
  </si>
  <si>
    <t>Div Growth 5Y</t>
  </si>
  <si>
    <t>Years of Growth</t>
  </si>
  <si>
    <t>Consecutive Years</t>
  </si>
  <si>
    <t>24M Beta</t>
  </si>
  <si>
    <t>9/1/2026</t>
  </si>
  <si>
    <t>9/15/2026</t>
  </si>
  <si>
    <t>Quarterly</t>
  </si>
  <si>
    <t>0 Years</t>
  </si>
  <si>
    <t>42 Years</t>
  </si>
  <si>
    <t>7/28/2026</t>
  </si>
  <si>
    <t>8/5/2026</t>
  </si>
  <si>
    <t>10 Years</t>
  </si>
  <si>
    <t>17 Years</t>
  </si>
  <si>
    <t>5/29/2026</t>
  </si>
  <si>
    <t>6/15/2026</t>
  </si>
  <si>
    <t>1 Year</t>
  </si>
  <si>
    <t>30 Years</t>
  </si>
  <si>
    <t>10/2/2026</t>
  </si>
  <si>
    <t>11/12/2026</t>
  </si>
  <si>
    <t>3 Years</t>
  </si>
  <si>
    <t>27 Years</t>
  </si>
  <si>
    <t>6/30/2026</t>
  </si>
  <si>
    <t>7/1/2026</t>
  </si>
  <si>
    <t>9/4/2026</t>
  </si>
  <si>
    <t>9/18/2026</t>
  </si>
  <si>
    <t>24 Years</t>
  </si>
  <si>
    <t>36 Years</t>
  </si>
  <si>
    <t>9/25/2026</t>
  </si>
  <si>
    <t>23 Years</t>
  </si>
  <si>
    <t>9/3/2026</t>
  </si>
  <si>
    <t>9/28/2026</t>
  </si>
  <si>
    <t>6/1/2026</t>
  </si>
  <si>
    <t>6/17/2026</t>
  </si>
  <si>
    <t>22 Years</t>
  </si>
  <si>
    <t>7/10/2026</t>
  </si>
  <si>
    <t>7/24/2026</t>
  </si>
  <si>
    <t>11 Years</t>
  </si>
  <si>
    <t>16 Years</t>
  </si>
  <si>
    <t>5/19/2026</t>
  </si>
  <si>
    <t>15 Years</t>
  </si>
  <si>
    <t>6/25/2026</t>
  </si>
  <si>
    <t>7/20/2026</t>
  </si>
  <si>
    <t>6/22/2026</t>
  </si>
  <si>
    <t>6/26/2026</t>
  </si>
  <si>
    <t>2 Years</t>
  </si>
  <si>
    <t>20 Years</t>
  </si>
  <si>
    <t>9/16/2026</t>
  </si>
  <si>
    <t>9/30/2026</t>
  </si>
  <si>
    <t>6/24/2026</t>
  </si>
  <si>
    <t>6/29/2026</t>
  </si>
  <si>
    <t>4 Years</t>
  </si>
  <si>
    <t>6/5/2017</t>
  </si>
  <si>
    <t>6/21/2017</t>
  </si>
  <si>
    <t>Other</t>
  </si>
  <si>
    <t>Upcoming Announce Date</t>
  </si>
  <si>
    <t>Release Time</t>
  </si>
  <si>
    <t>EPS Estimate</t>
  </si>
  <si>
    <t>EPS Surprise</t>
  </si>
  <si>
    <t>P/E TTM</t>
  </si>
  <si>
    <t>Price / Sales</t>
  </si>
  <si>
    <t>10/28/2026</t>
  </si>
  <si>
    <t>Post-Market</t>
  </si>
  <si>
    <t>11/2/2026</t>
  </si>
  <si>
    <t>10/14/2026</t>
  </si>
  <si>
    <t>Pre-Market</t>
  </si>
  <si>
    <t>NM</t>
  </si>
  <si>
    <t>10/22/2026</t>
  </si>
  <si>
    <t>11/5/2026</t>
  </si>
  <si>
    <t>11/4/2026</t>
  </si>
  <si>
    <t>11/6/2026</t>
  </si>
  <si>
    <t>10/29/2026</t>
  </si>
  <si>
    <t>10/20/2026</t>
  </si>
  <si>
    <t>During-Market</t>
  </si>
  <si>
    <t>10/30/2026</t>
  </si>
  <si>
    <t>8/13/2026</t>
  </si>
  <si>
    <t>8/12/2026</t>
  </si>
  <si>
    <t>10/21/2026</t>
  </si>
  <si>
    <t>Name</t>
  </si>
  <si>
    <t>10D SMA</t>
  </si>
  <si>
    <t>Last Price Vs. 10D SMA</t>
  </si>
  <si>
    <t>50D SMA</t>
  </si>
  <si>
    <t>Last Price Vs. 50D SMA</t>
  </si>
  <si>
    <t>100D SMA</t>
  </si>
  <si>
    <t>Last Price Vs. 100D SMA</t>
  </si>
  <si>
    <t>200D SMA</t>
  </si>
  <si>
    <t>Last Price Vs. 200D SMA</t>
  </si>
  <si>
    <t>Agnico Eagle Mines Limited</t>
  </si>
  <si>
    <t>Arista Networks, Inc.</t>
  </si>
  <si>
    <t>ASML Holding N.V.</t>
  </si>
  <si>
    <t>Barrick Mining Corporation</t>
  </si>
  <si>
    <t>British American Tobacco p.l.c.</t>
  </si>
  <si>
    <t>Capital Group Dividend Value ETF</t>
  </si>
  <si>
    <t>Ero Copper Corp.</t>
  </si>
  <si>
    <t>IonQ, Inc.</t>
  </si>
  <si>
    <t>Karman Holdings Inc.</t>
  </si>
  <si>
    <t>Kratos Defense &amp; Security Solutions, Inc.</t>
  </si>
  <si>
    <t>L3Harris Technologies, Inc.</t>
  </si>
  <si>
    <t>Lockheed Martin Corporation</t>
  </si>
  <si>
    <t>Tema Space Innovators ETF</t>
  </si>
  <si>
    <t>Neurocrine Biosciences, Inc.</t>
  </si>
  <si>
    <t>Newmont Corporation</t>
  </si>
  <si>
    <t>Northrop Grumman Corporation</t>
  </si>
  <si>
    <t>Ondas Inc.</t>
  </si>
  <si>
    <t>Oracle Corporation</t>
  </si>
  <si>
    <t>Pan American Silver Corp.</t>
  </si>
  <si>
    <t>Philip Morris International Inc.</t>
  </si>
  <si>
    <t>Invesco Aerospace &amp; Defense ETF</t>
  </si>
  <si>
    <t>Permian Resources Corporation</t>
  </si>
  <si>
    <t>Schwab International Dividend Equity ETF</t>
  </si>
  <si>
    <t>TAT Technologies Ltd.</t>
  </si>
  <si>
    <t>USA Rare Earth, Inc.</t>
  </si>
  <si>
    <t>Days Held</t>
  </si>
  <si>
    <t>Sector</t>
  </si>
  <si>
    <t>Industry/Sub Class</t>
  </si>
  <si>
    <t>174 days</t>
  </si>
  <si>
    <t>Materials</t>
  </si>
  <si>
    <t>Gold</t>
  </si>
  <si>
    <t>3Y, 58d</t>
  </si>
  <si>
    <t>Information Technology</t>
  </si>
  <si>
    <t>Communications Equipment</t>
  </si>
  <si>
    <t>3Y, 63d</t>
  </si>
  <si>
    <t>2Y, 165d</t>
  </si>
  <si>
    <t>Semiconductor Materials &amp; Equipment</t>
  </si>
  <si>
    <t>237 days</t>
  </si>
  <si>
    <t>1 day</t>
  </si>
  <si>
    <t>Consumer Staples</t>
  </si>
  <si>
    <t>Tobacco</t>
  </si>
  <si>
    <t>313 days</t>
  </si>
  <si>
    <t>U.S. Equity</t>
  </si>
  <si>
    <t>Income Large-Cap Value</t>
  </si>
  <si>
    <t>1Y, 363d</t>
  </si>
  <si>
    <t>1Y, 87d</t>
  </si>
  <si>
    <t>340 days</t>
  </si>
  <si>
    <t>264 days</t>
  </si>
  <si>
    <t>197 days</t>
  </si>
  <si>
    <t>Copper</t>
  </si>
  <si>
    <t>201 days</t>
  </si>
  <si>
    <t>193 days</t>
  </si>
  <si>
    <t>Semiconductors</t>
  </si>
  <si>
    <t>Industrials</t>
  </si>
  <si>
    <t>Aerospace and Defense</t>
  </si>
  <si>
    <t>147 days</t>
  </si>
  <si>
    <t>99 days</t>
  </si>
  <si>
    <t>Sector Equity</t>
  </si>
  <si>
    <t>Health Care</t>
  </si>
  <si>
    <t>Biotechnology</t>
  </si>
  <si>
    <t>10 days</t>
  </si>
  <si>
    <t>19 days</t>
  </si>
  <si>
    <t>2Y, 32d</t>
  </si>
  <si>
    <t>Systems Software</t>
  </si>
  <si>
    <t>3Y, 218d</t>
  </si>
  <si>
    <t>211 days</t>
  </si>
  <si>
    <t>222 days</t>
  </si>
  <si>
    <t>1Y, 29d</t>
  </si>
  <si>
    <t>2Y, 100d</t>
  </si>
  <si>
    <t>1Y, 311d</t>
  </si>
  <si>
    <t>138 days</t>
  </si>
  <si>
    <t>Energy</t>
  </si>
  <si>
    <t>Oil and Gas Exploration and Production</t>
  </si>
  <si>
    <t>315 days</t>
  </si>
  <si>
    <t>International Equity</t>
  </si>
  <si>
    <t>Equity Global Income</t>
  </si>
  <si>
    <t>295 days</t>
  </si>
  <si>
    <t>Diversified Metals and Mining</t>
  </si>
  <si>
    <t>336 days</t>
  </si>
  <si>
    <t>MTZ</t>
  </si>
  <si>
    <t>COHR</t>
  </si>
  <si>
    <t>CRDO</t>
  </si>
  <si>
    <t>51.20</t>
  </si>
  <si>
    <t>-0.01</t>
  </si>
  <si>
    <t>-0.02%</t>
  </si>
  <si>
    <t>7:34 PM</t>
  </si>
  <si>
    <t>DGRO</t>
  </si>
  <si>
    <t>79.73</t>
  </si>
  <si>
    <t>0.11</t>
  </si>
  <si>
    <t>0.14%</t>
  </si>
  <si>
    <t>7:58 PM</t>
  </si>
  <si>
    <t>QQQ</t>
  </si>
  <si>
    <t>719.96</t>
  </si>
  <si>
    <t>-0.91</t>
  </si>
  <si>
    <t>-0.13%</t>
  </si>
  <si>
    <t>7:59 PM</t>
  </si>
  <si>
    <t>SCHD</t>
  </si>
  <si>
    <t>34.18</t>
  </si>
  <si>
    <t>-0.03%</t>
  </si>
  <si>
    <t>SPY</t>
  </si>
  <si>
    <t>772.45</t>
  </si>
  <si>
    <t>-0.58</t>
  </si>
  <si>
    <t>-0.08%</t>
  </si>
  <si>
    <t>AAOI</t>
  </si>
  <si>
    <t>AIPO</t>
  </si>
  <si>
    <t>AIS</t>
  </si>
  <si>
    <t>CLS</t>
  </si>
  <si>
    <t>CRM</t>
  </si>
  <si>
    <t>CRWV</t>
  </si>
  <si>
    <t>DRAM</t>
  </si>
  <si>
    <t>IGM</t>
  </si>
  <si>
    <t>IREN</t>
  </si>
  <si>
    <t>NOW</t>
  </si>
  <si>
    <t>QBTS</t>
  </si>
  <si>
    <t>TSM</t>
  </si>
  <si>
    <t>VRT</t>
  </si>
  <si>
    <t>ZBRA</t>
  </si>
  <si>
    <t>AMKR</t>
  </si>
  <si>
    <t>CIEN</t>
  </si>
  <si>
    <t>CRS</t>
  </si>
  <si>
    <t>LPTH</t>
  </si>
  <si>
    <t>LASR</t>
  </si>
  <si>
    <t>INCY</t>
  </si>
  <si>
    <t>APG</t>
  </si>
  <si>
    <t>304 days</t>
  </si>
  <si>
    <t>1Y, 101d</t>
  </si>
  <si>
    <t>250 days</t>
  </si>
  <si>
    <t>1Y, 92d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</si>
</sst>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#"/>
    <numFmt numFmtId="165" formatCode="mm\/dd\/yyyy"/>
  </numFmts>
  <fonts count="7" x14ac:knownFonts="1">
    <font>
      <sz val="11"/>
      <color theme="1"/>
      <name val="Calibri"/>
      <family val="2"/>
      <scheme val="minor"/>
    </font>
    <font>
      <b/>
      <sz val="14"/>
      <color rgb="FF2867DB"/>
      <name val="Calibri"/>
    </font>
    <font>
      <b/>
      <sz val="11"/>
      <name val="Calibri"/>
    </font>
    <font>
      <b/>
      <sz val="10"/>
      <color rgb="FF757575"/>
      <name val="Calibri"/>
      <family val="2"/>
    </font>
    <font>
      <sz val="11"/>
      <color rgb="FF2867DB"/>
      <name val="Calibri"/>
    </font>
    <font>
      <sz val="11"/>
      <color rgb="FF757575"/>
      <name val="Calibri"/>
    </font>
    <font>
      <b/>
      <sz val="14"/>
      <color rgb="FF75757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165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800"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  <numFmt numFmtId="175" formatCode="&quot;$&quot;0.00"/>
    </dxf>
    <dxf>
      <font>
        <color rgb="FF0A7B44"/>
      </font>
      <numFmt numFmtId="175" formatCode="&quot;$&quot;0.00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0" formatCode="&quot;$&quot;#,##0.00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0" formatCode="&quot;$&quot;#,##0.00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0" formatCode="&quot;$&quot;#,##0.00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4" formatCode="&quot;$&quot;0.00,&quot;K&quot;"/>
    </dxf>
    <dxf>
      <numFmt numFmtId="173" formatCode="&quot;$&quot;0.00,,&quot;M&quot;"/>
    </dxf>
    <dxf>
      <numFmt numFmtId="172" formatCode="&quot;$&quot;0.00,,,&quot;B&quot;"/>
    </dxf>
    <dxf>
      <numFmt numFmtId="171" formatCode="&quot;$&quot;0.00,,,,&quot;T&quot;"/>
    </dxf>
    <dxf>
      <numFmt numFmtId="170" formatCode="&quot;$&quot;#,##0.00"/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3D5F12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E32B3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5D921C"/>
        </patternFill>
      </fill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  <dxf>
      <font>
        <color rgb="FFC9392C"/>
      </font>
    </dxf>
    <dxf>
      <font>
        <color rgb="FF0A7B44"/>
      </font>
    </dxf>
    <dxf>
      <font>
        <color rgb="FFC9392C"/>
      </font>
    </dxf>
    <dxf>
      <font>
        <color rgb="FF0A7B44"/>
      </font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169" formatCode="0.00,&quot;K&quot;"/>
    </dxf>
    <dxf>
      <numFmt numFmtId="168" formatCode="0.00,,&quot;M&quot;"/>
    </dxf>
    <dxf>
      <numFmt numFmtId="167" formatCode="0.00,,,&quot;B&quot;"/>
    </dxf>
    <dxf>
      <numFmt numFmtId="166" formatCode="0.00,,,,&quot;T&quot;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" displayName="Summary" ref="A1:P26">
  <autoFilter ref="A1:P2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000-000001000000}" name="Symbol" totalsRowLabel="Total"/>
    <tableColumn id="2" xr3:uid="{00000000-0010-0000-0000-000002000000}" name="Price"/>
    <tableColumn id="3" xr3:uid="{00000000-0010-0000-0000-000003000000}" name="Change"/>
    <tableColumn id="4" xr3:uid="{00000000-0010-0000-0000-000004000000}" name="Change %"/>
    <tableColumn id="5" xr3:uid="{00000000-0010-0000-0000-000005000000}" name="Weight"/>
    <tableColumn id="6" xr3:uid="{00000000-0010-0000-0000-000006000000}" name="Volume"/>
    <tableColumn id="7" xr3:uid="{00000000-0010-0000-0000-000007000000}" name="Avg. Vol"/>
    <tableColumn id="8" xr3:uid="{00000000-0010-0000-0000-000008000000}" name="Prev Close"/>
    <tableColumn id="9" xr3:uid="{00000000-0010-0000-0000-000009000000}" name="Open"/>
    <tableColumn id="10" xr3:uid="{00000000-0010-0000-0000-00000A000000}" name="Day Low"/>
    <tableColumn id="11" xr3:uid="{00000000-0010-0000-0000-00000B000000}" name="Day High"/>
    <tableColumn id="12" xr3:uid="{00000000-0010-0000-0000-00000C000000}" name="52W Low"/>
    <tableColumn id="13" xr3:uid="{00000000-0010-0000-0000-00000D000000}" name="52W High"/>
    <tableColumn id="14" xr3:uid="{00000000-0010-0000-0000-00000E000000}" name="Quant Rating"/>
    <tableColumn id="15" xr3:uid="{00000000-0010-0000-0000-00000F000000}" name="SA Analyst Ratings"/>
    <tableColumn id="16" xr3:uid="{00000000-0010-0000-0000-000010000000}" name="Wall Street Ratings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tings" displayName="Ratings" ref="A1:N26">
  <autoFilter ref="A1:N26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100-000001000000}" name="Symbol" totalsRowLabel="Total"/>
    <tableColumn id="2" xr3:uid="{00000000-0010-0000-0100-000002000000}" name="Quant Score"/>
    <tableColumn id="3" xr3:uid="{00000000-0010-0000-0100-000003000000}" name="SA Analysts Score"/>
    <tableColumn id="4" xr3:uid="{00000000-0010-0000-0100-000004000000}" name="Wall St. Score"/>
    <tableColumn id="5" xr3:uid="{00000000-0010-0000-0100-000005000000}" name="Valuation Grade"/>
    <tableColumn id="6" xr3:uid="{00000000-0010-0000-0100-000006000000}" name="Growth Grade"/>
    <tableColumn id="7" xr3:uid="{00000000-0010-0000-0100-000007000000}" name="Profitability Grade"/>
    <tableColumn id="8" xr3:uid="{00000000-0010-0000-0100-000008000000}" name="Momentum Grade"/>
    <tableColumn id="9" xr3:uid="{00000000-0010-0000-0100-000009000000}" name="EPS Revision Grade"/>
    <tableColumn id="10" xr3:uid="{00000000-0010-0000-0100-00000A000000}" name="ETF Momentum"/>
    <tableColumn id="11" xr3:uid="{00000000-0010-0000-0100-00000B000000}" name="ETF Expenses"/>
    <tableColumn id="12" xr3:uid="{00000000-0010-0000-0100-00000C000000}" name="ETF Dividends"/>
    <tableColumn id="13" xr3:uid="{00000000-0010-0000-0100-00000D000000}" name="ETF Risk"/>
    <tableColumn id="14" xr3:uid="{00000000-0010-0000-0100-00000E000000}" name="ETF Liquidity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oldings" displayName="Holdings" ref="A1:M49">
  <autoFilter ref="A1:M49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200-000001000000}" name="Symbol" totalsRowLabel="Total"/>
    <tableColumn id="2" xr3:uid="{00000000-0010-0000-0200-000002000000}" name="Price"/>
    <tableColumn id="3" xr3:uid="{00000000-0010-0000-0200-000003000000}" name="Change"/>
    <tableColumn id="4" xr3:uid="{00000000-0010-0000-0200-000004000000}" name="Change %"/>
    <tableColumn id="5" xr3:uid="{00000000-0010-0000-0200-000005000000}" name="Weight"/>
    <tableColumn id="6" xr3:uid="{00000000-0010-0000-0200-000006000000}" name="Shares"/>
    <tableColumn id="7" xr3:uid="{00000000-0010-0000-0200-000007000000}" name="Cost"/>
    <tableColumn id="8" xr3:uid="{00000000-0010-0000-0200-000008000000}" name="Today`s Gain"/>
    <tableColumn id="9" xr3:uid="{00000000-0010-0000-0200-000009000000}" name="Today`s % Gain"/>
    <tableColumn id="10" xr3:uid="{00000000-0010-0000-0200-00000A000000}" name="Est Annual Income"/>
    <tableColumn id="11" xr3:uid="{00000000-0010-0000-0200-00000B000000}" name="Total Change"/>
    <tableColumn id="12" xr3:uid="{00000000-0010-0000-0200-00000C000000}" name="Total % Change"/>
    <tableColumn id="13" xr3:uid="{00000000-0010-0000-0200-00000D000000}" name="Valu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vidends" displayName="Dividends" ref="A1:U26">
  <autoFilter ref="A1:U26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300-000001000000}" name="Symbol" totalsRowLabel="Total"/>
    <tableColumn id="2" xr3:uid="{00000000-0010-0000-0300-000002000000}" name="Safety"/>
    <tableColumn id="3" xr3:uid="{00000000-0010-0000-0300-000003000000}" name="Growth"/>
    <tableColumn id="4" xr3:uid="{00000000-0010-0000-0300-000004000000}" name="Yield"/>
    <tableColumn id="5" xr3:uid="{00000000-0010-0000-0300-000005000000}" name="Consistency"/>
    <tableColumn id="6" xr3:uid="{00000000-0010-0000-0300-000006000000}" name="Ex-Div Date"/>
    <tableColumn id="7" xr3:uid="{00000000-0010-0000-0300-000007000000}" name="Payout Date"/>
    <tableColumn id="8" xr3:uid="{00000000-0010-0000-0300-000008000000}" name="Frequency"/>
    <tableColumn id="9" xr3:uid="{00000000-0010-0000-0300-000009000000}" name="Est Annual Income"/>
    <tableColumn id="10" xr3:uid="{00000000-0010-0000-0300-00000A000000}" name="Yield TTM"/>
    <tableColumn id="11" xr3:uid="{00000000-0010-0000-0300-00000B000000}" name="Yield FWD"/>
    <tableColumn id="12" xr3:uid="{00000000-0010-0000-0300-00000C000000}" name="4Y Avg Yield"/>
    <tableColumn id="13" xr3:uid="{00000000-0010-0000-0300-00000D000000}" name="Div Rate TTM"/>
    <tableColumn id="14" xr3:uid="{00000000-0010-0000-0300-00000E000000}" name="Div Rate FWD"/>
    <tableColumn id="15" xr3:uid="{00000000-0010-0000-0300-00000F000000}" name="Payout Ratio"/>
    <tableColumn id="16" xr3:uid="{00000000-0010-0000-0300-000010000000}" name="4Y Avg Payout"/>
    <tableColumn id="17" xr3:uid="{00000000-0010-0000-0300-000011000000}" name="Div Growth 3Y"/>
    <tableColumn id="18" xr3:uid="{00000000-0010-0000-0300-000012000000}" name="Div Growth 5Y"/>
    <tableColumn id="19" xr3:uid="{00000000-0010-0000-0300-000013000000}" name="Years of Growth"/>
    <tableColumn id="20" xr3:uid="{00000000-0010-0000-0300-000014000000}" name="Consecutive Years"/>
    <tableColumn id="21" xr3:uid="{00000000-0010-0000-0300-000015000000}" name="24M Beta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el" displayName="excel" ref="A1:U49">
  <autoFilter ref="A1:U49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400-000001000000}" name="Symbol" totalsRowLabel="Total"/>
    <tableColumn id="2" xr3:uid="{00000000-0010-0000-0400-000002000000}" name="Shares"/>
    <tableColumn id="3" xr3:uid="{00000000-0010-0000-0400-000003000000}" name="Price"/>
    <tableColumn id="4" xr3:uid="{00000000-0010-0000-0400-000004000000}" name="Value"/>
    <tableColumn id="5" xr3:uid="{00000000-0010-0000-0400-000005000000}" name="Change"/>
    <tableColumn id="6" xr3:uid="{00000000-0010-0000-0400-000006000000}" name="Change %"/>
    <tableColumn id="7" xr3:uid="{00000000-0010-0000-0400-000007000000}" name="Total % Change"/>
    <tableColumn id="8" xr3:uid="{00000000-0010-0000-0400-000008000000}" name="Total Change"/>
    <tableColumn id="9" xr3:uid="{00000000-0010-0000-0400-000009000000}" name="Quant Rating"/>
    <tableColumn id="10" xr3:uid="{00000000-0010-0000-0400-00000A000000}" name="SA Analyst Ratings"/>
    <tableColumn id="11" xr3:uid="{00000000-0010-0000-0400-00000B000000}" name="Wall Street Ratings"/>
    <tableColumn id="12" xr3:uid="{00000000-0010-0000-0400-00000C000000}" name="Cost"/>
    <tableColumn id="13" xr3:uid="{00000000-0010-0000-0400-00000D000000}" name="Weight"/>
    <tableColumn id="14" xr3:uid="{00000000-0010-0000-0400-00000E000000}" name="Upcoming Announce Date"/>
    <tableColumn id="15" xr3:uid="{00000000-0010-0000-0400-00000F000000}" name="Release Time"/>
    <tableColumn id="16" xr3:uid="{00000000-0010-0000-0400-000010000000}" name="EPS Estimate"/>
    <tableColumn id="17" xr3:uid="{00000000-0010-0000-0400-000011000000}" name="EPS Surprise"/>
    <tableColumn id="18" xr3:uid="{00000000-0010-0000-0400-000012000000}" name="Ex-Div Date"/>
    <tableColumn id="19" xr3:uid="{00000000-0010-0000-0400-000013000000}" name="Yield TTM"/>
    <tableColumn id="20" xr3:uid="{00000000-0010-0000-0400-000014000000}" name="P/E TTM"/>
    <tableColumn id="21" xr3:uid="{00000000-0010-0000-0400-000015000000}" name="Price / Sales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cel view including prices" displayName="Excel view including prices" ref="A1:U26">
  <autoFilter ref="A1:U26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500-000001000000}" name="Symbol" totalsRowLabel="Total"/>
    <tableColumn id="2" xr3:uid="{00000000-0010-0000-0500-000002000000}" name="Price"/>
    <tableColumn id="3" xr3:uid="{00000000-0010-0000-0500-000003000000}" name="Change %"/>
    <tableColumn id="4" xr3:uid="{00000000-0010-0000-0500-000004000000}" name="Name"/>
    <tableColumn id="5" xr3:uid="{00000000-0010-0000-0500-000005000000}" name="Quant Rating"/>
    <tableColumn id="6" xr3:uid="{00000000-0010-0000-0500-000006000000}" name="SA Analyst Ratings"/>
    <tableColumn id="7" xr3:uid="{00000000-0010-0000-0500-000007000000}" name="Wall Street Ratings"/>
    <tableColumn id="8" xr3:uid="{00000000-0010-0000-0500-000008000000}" name="Valuation Grade"/>
    <tableColumn id="9" xr3:uid="{00000000-0010-0000-0500-000009000000}" name="Growth Grade"/>
    <tableColumn id="10" xr3:uid="{00000000-0010-0000-0500-00000A000000}" name="Profitability Grade"/>
    <tableColumn id="11" xr3:uid="{00000000-0010-0000-0500-00000B000000}" name="Momentum Grade"/>
    <tableColumn id="12" xr3:uid="{00000000-0010-0000-0500-00000C000000}" name="EPS Revision Grade"/>
    <tableColumn id="13" xr3:uid="{00000000-0010-0000-0500-00000D000000}" name="Upcoming Announce Date"/>
    <tableColumn id="14" xr3:uid="{00000000-0010-0000-0500-00000E000000}" name="10D SMA"/>
    <tableColumn id="15" xr3:uid="{00000000-0010-0000-0500-00000F000000}" name="Last Price Vs. 10D SMA"/>
    <tableColumn id="16" xr3:uid="{00000000-0010-0000-0500-000010000000}" name="50D SMA"/>
    <tableColumn id="17" xr3:uid="{00000000-0010-0000-0500-000011000000}" name="Last Price Vs. 50D SMA"/>
    <tableColumn id="18" xr3:uid="{00000000-0010-0000-0500-000012000000}" name="100D SMA"/>
    <tableColumn id="19" xr3:uid="{00000000-0010-0000-0500-000013000000}" name="Last Price Vs. 100D SMA"/>
    <tableColumn id="20" xr3:uid="{00000000-0010-0000-0500-000014000000}" name="200D SMA"/>
    <tableColumn id="21" xr3:uid="{00000000-0010-0000-0500-000015000000}" name="Last Price Vs. 200D SMA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llocation overview" displayName="allocation overview" ref="A1:U49">
  <autoFilter ref="A1:U49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600-000001000000}" name="Symbol" totalsRowLabel="Total"/>
    <tableColumn id="2" xr3:uid="{00000000-0010-0000-0600-000002000000}" name="Price"/>
    <tableColumn id="3" xr3:uid="{00000000-0010-0000-0600-000003000000}" name="Change"/>
    <tableColumn id="4" xr3:uid="{00000000-0010-0000-0600-000004000000}" name="Change %"/>
    <tableColumn id="5" xr3:uid="{00000000-0010-0000-0600-000005000000}" name="Shares"/>
    <tableColumn id="6" xr3:uid="{00000000-0010-0000-0600-000006000000}" name="Cost"/>
    <tableColumn id="7" xr3:uid="{00000000-0010-0000-0600-000007000000}" name="Total Change"/>
    <tableColumn id="8" xr3:uid="{00000000-0010-0000-0600-000008000000}" name="Total % Change"/>
    <tableColumn id="9" xr3:uid="{00000000-0010-0000-0600-000009000000}" name="Days Held"/>
    <tableColumn id="10" xr3:uid="{00000000-0010-0000-0600-00000A000000}" name="Valuation Grade"/>
    <tableColumn id="11" xr3:uid="{00000000-0010-0000-0600-00000B000000}" name="Growth Grade"/>
    <tableColumn id="12" xr3:uid="{00000000-0010-0000-0600-00000C000000}" name="Profitability Grade"/>
    <tableColumn id="13" xr3:uid="{00000000-0010-0000-0600-00000D000000}" name="Momentum Grade"/>
    <tableColumn id="14" xr3:uid="{00000000-0010-0000-0600-00000E000000}" name="EPS Revision Grade"/>
    <tableColumn id="15" xr3:uid="{00000000-0010-0000-0600-00000F000000}" name="ETF Momentum"/>
    <tableColumn id="16" xr3:uid="{00000000-0010-0000-0600-000010000000}" name="ETF Expenses"/>
    <tableColumn id="17" xr3:uid="{00000000-0010-0000-0600-000011000000}" name="ETF Dividends"/>
    <tableColumn id="18" xr3:uid="{00000000-0010-0000-0600-000012000000}" name="ETF Risk"/>
    <tableColumn id="19" xr3:uid="{00000000-0010-0000-0600-000013000000}" name="ETF Liquidity"/>
    <tableColumn id="20" xr3:uid="{00000000-0010-0000-0600-000014000000}" name="Sector"/>
    <tableColumn id="21" xr3:uid="{00000000-0010-0000-0600-000015000000}" name="Industry/Sub Clas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55" workbookViewId="0">
      <selection activeCell="A64" sqref="A64:M68"/>
    </sheetView>
  </sheetViews>
  <sheetFormatPr defaultColWidth="15" defaultRowHeight="20.100000000000001" customHeight="1" x14ac:dyDescent="0.25"/>
  <cols>
    <col min="1" max="1" width="20" style="1" customWidth="1"/>
    <col min="2" max="2" width="15" style="2" customWidth="1"/>
    <col min="3" max="3" width="15" style="3" customWidth="1"/>
    <col min="4" max="7" width="15" style="4" customWidth="1"/>
    <col min="8" max="13" width="15" style="5" customWidth="1"/>
    <col min="14" max="16" width="15" style="6" customWidth="1"/>
  </cols>
  <sheetData>
    <row r="1" spans="1:16" s="7" customFormat="1" ht="20.100000000000001" customHeight="1" x14ac:dyDescent="0.2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9" t="s">
        <v>5</v>
      </c>
      <c r="G1" s="9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3" t="s">
        <v>14</v>
      </c>
      <c r="P1" s="13" t="s">
        <v>15</v>
      </c>
    </row>
    <row r="2" spans="1:16" x14ac:dyDescent="0.25">
      <c r="A2" s="1" t="s">
        <v>16</v>
      </c>
      <c r="B2" s="2">
        <v>180.48</v>
      </c>
      <c r="C2" s="3">
        <v>1.6599999999999966</v>
      </c>
      <c r="D2" s="4">
        <v>9.2830779554859966E-3</v>
      </c>
      <c r="E2" s="14">
        <v>1.297491649542259E-2</v>
      </c>
      <c r="F2" s="15">
        <v>3544081</v>
      </c>
      <c r="G2" s="15">
        <v>2724521.4</v>
      </c>
      <c r="H2" s="5">
        <v>178.82</v>
      </c>
      <c r="I2" s="5">
        <v>178.82</v>
      </c>
      <c r="J2" s="5">
        <v>174.64500000000001</v>
      </c>
      <c r="K2" s="5">
        <v>181.62</v>
      </c>
      <c r="L2" s="5">
        <v>130.04</v>
      </c>
      <c r="M2" s="5">
        <v>255.24</v>
      </c>
      <c r="N2" s="6">
        <v>2.8</v>
      </c>
      <c r="O2" s="6">
        <v>3.75</v>
      </c>
      <c r="P2" s="6">
        <v>4.2699999999999996</v>
      </c>
    </row>
    <row r="3" spans="1:16" x14ac:dyDescent="0.25">
      <c r="A3" s="1" t="s">
        <v>17</v>
      </c>
      <c r="B3" s="2">
        <v>191.52</v>
      </c>
      <c r="C3" s="3">
        <v>2.8500000000000227</v>
      </c>
      <c r="D3" s="4">
        <v>1.5105740181269089E-2</v>
      </c>
      <c r="E3" s="14">
        <v>4.1152800306448051E-2</v>
      </c>
      <c r="F3" s="15">
        <v>5434077</v>
      </c>
      <c r="G3" s="15">
        <v>9057957.7100000009</v>
      </c>
      <c r="H3" s="5">
        <v>188.67</v>
      </c>
      <c r="I3" s="5">
        <v>188.67</v>
      </c>
      <c r="J3" s="5">
        <v>187.03</v>
      </c>
      <c r="K3" s="5">
        <v>195.7</v>
      </c>
      <c r="L3" s="5">
        <v>114.52</v>
      </c>
      <c r="M3" s="5">
        <v>214.89</v>
      </c>
      <c r="N3" s="6">
        <v>4.88</v>
      </c>
      <c r="O3" s="6">
        <v>3.75</v>
      </c>
      <c r="P3" s="6">
        <v>4.7300000000000004</v>
      </c>
    </row>
    <row r="4" spans="1:16" x14ac:dyDescent="0.25">
      <c r="A4" s="1" t="s">
        <v>18</v>
      </c>
      <c r="B4" s="2">
        <v>1733.48</v>
      </c>
      <c r="C4" s="3">
        <v>-7.5099999999999909</v>
      </c>
      <c r="D4" s="4">
        <v>-4.3136376429502299E-3</v>
      </c>
      <c r="E4" s="14">
        <v>2.3539689851152946E-2</v>
      </c>
      <c r="F4" s="15">
        <v>1107046.026636</v>
      </c>
      <c r="G4" s="15">
        <v>1952660.06</v>
      </c>
      <c r="H4" s="5">
        <v>1740.99</v>
      </c>
      <c r="I4" s="5">
        <v>1740.99</v>
      </c>
      <c r="J4" s="5">
        <v>1732.81</v>
      </c>
      <c r="K4" s="5">
        <v>1794.47</v>
      </c>
      <c r="L4" s="5">
        <v>716.2</v>
      </c>
      <c r="M4" s="5">
        <v>1999.96</v>
      </c>
      <c r="N4" s="6">
        <v>3.47</v>
      </c>
      <c r="O4" s="6">
        <v>3.76</v>
      </c>
      <c r="P4" s="6">
        <v>4.6100000000000003</v>
      </c>
    </row>
    <row r="5" spans="1:16" x14ac:dyDescent="0.25">
      <c r="A5" s="1" t="s">
        <v>19</v>
      </c>
      <c r="B5" s="2">
        <v>40.880000000000003</v>
      </c>
      <c r="C5" s="3">
        <v>-2.7999999999999972</v>
      </c>
      <c r="D5" s="4">
        <v>-6.4102564102563986E-2</v>
      </c>
      <c r="E5" s="14">
        <v>1.5086407782074254E-2</v>
      </c>
      <c r="F5" s="15">
        <v>29223637</v>
      </c>
      <c r="G5" s="15">
        <v>11037373.060000001</v>
      </c>
      <c r="H5" s="5">
        <v>43.68</v>
      </c>
      <c r="I5" s="5">
        <v>43.68</v>
      </c>
      <c r="J5" s="5">
        <v>39.44</v>
      </c>
      <c r="K5" s="5">
        <v>41.57</v>
      </c>
      <c r="L5" s="5">
        <v>22.13</v>
      </c>
      <c r="M5" s="5">
        <v>54.69</v>
      </c>
      <c r="N5" s="6">
        <v>3.77</v>
      </c>
      <c r="O5" s="6">
        <v>3.62</v>
      </c>
      <c r="P5" s="6">
        <v>4.25</v>
      </c>
    </row>
    <row r="6" spans="1:16" x14ac:dyDescent="0.25">
      <c r="A6" s="1" t="s">
        <v>20</v>
      </c>
      <c r="B6" s="2">
        <v>57.05</v>
      </c>
      <c r="C6" s="3">
        <v>-2.2800000000000011</v>
      </c>
      <c r="D6" s="4">
        <v>-3.8429125231754568E-2</v>
      </c>
      <c r="E6" s="14">
        <v>2.4152633878413439E-2</v>
      </c>
      <c r="F6" s="15">
        <v>4176913.9611470001</v>
      </c>
      <c r="G6" s="15">
        <v>4314067.29</v>
      </c>
      <c r="H6" s="5">
        <v>59.33</v>
      </c>
      <c r="I6" s="5">
        <v>59.33</v>
      </c>
      <c r="J6" s="5">
        <v>56.85</v>
      </c>
      <c r="K6" s="5">
        <v>58.163800000000002</v>
      </c>
      <c r="L6" s="5">
        <v>49.88</v>
      </c>
      <c r="M6" s="5">
        <v>67.3</v>
      </c>
      <c r="N6" s="6">
        <v>3.06</v>
      </c>
      <c r="O6" s="6">
        <v>3.57</v>
      </c>
      <c r="P6" s="6">
        <v>4.57</v>
      </c>
    </row>
    <row r="7" spans="1:16" x14ac:dyDescent="0.25">
      <c r="A7" s="1" t="s">
        <v>21</v>
      </c>
      <c r="B7" s="2">
        <v>51.21</v>
      </c>
      <c r="C7" s="3">
        <v>-8.9999999999996305E-2</v>
      </c>
      <c r="D7" s="4">
        <v>-1.7543859649121751E-3</v>
      </c>
      <c r="E7" s="14">
        <v>0.28846960455748416</v>
      </c>
      <c r="F7" s="15">
        <v>3199986</v>
      </c>
      <c r="G7" s="15">
        <v>3832493.42</v>
      </c>
      <c r="H7" s="5">
        <v>51.3</v>
      </c>
      <c r="I7" s="5">
        <v>51.3</v>
      </c>
      <c r="J7" s="5">
        <v>51.16</v>
      </c>
      <c r="K7" s="5">
        <v>51.44</v>
      </c>
      <c r="L7" s="5">
        <v>40.450000000000003</v>
      </c>
      <c r="M7" s="5">
        <v>51.49</v>
      </c>
      <c r="N7" s="6">
        <v>4.0599999999999996</v>
      </c>
      <c r="O7" s="6">
        <v>4.25</v>
      </c>
      <c r="P7" s="6" t="s">
        <v>22</v>
      </c>
    </row>
    <row r="8" spans="1:16" x14ac:dyDescent="0.25">
      <c r="A8" s="1" t="s">
        <v>23</v>
      </c>
      <c r="B8" s="2">
        <v>36.54</v>
      </c>
      <c r="C8" s="3">
        <v>2.2299999999999969</v>
      </c>
      <c r="D8" s="4">
        <v>6.4995628096764735E-2</v>
      </c>
      <c r="E8" s="14">
        <v>2.2824868062747722E-2</v>
      </c>
      <c r="F8" s="15">
        <v>3557750</v>
      </c>
      <c r="G8" s="15">
        <v>1204221.3400000001</v>
      </c>
      <c r="H8" s="5">
        <v>34.31</v>
      </c>
      <c r="I8" s="5">
        <v>34.31</v>
      </c>
      <c r="J8" s="5">
        <v>34.31</v>
      </c>
      <c r="K8" s="5">
        <v>36.619999999999997</v>
      </c>
      <c r="L8" s="5">
        <v>13.37</v>
      </c>
      <c r="M8" s="5">
        <v>39.798999999999999</v>
      </c>
      <c r="N8" s="6">
        <v>4.3899999999999997</v>
      </c>
      <c r="O8" s="6">
        <v>4</v>
      </c>
      <c r="P8" s="6">
        <v>4.05</v>
      </c>
    </row>
    <row r="9" spans="1:16" x14ac:dyDescent="0.25">
      <c r="A9" s="1" t="s">
        <v>24</v>
      </c>
      <c r="B9" s="2">
        <v>42.53</v>
      </c>
      <c r="C9" s="3">
        <v>-1.8999999999999986</v>
      </c>
      <c r="D9" s="4">
        <v>-4.2763898266936717E-2</v>
      </c>
      <c r="E9" s="14">
        <v>1.5967106439534803E-2</v>
      </c>
      <c r="F9" s="15">
        <v>17017392.781773001</v>
      </c>
      <c r="G9" s="15">
        <v>26465903.899999999</v>
      </c>
      <c r="H9" s="5">
        <v>44.43</v>
      </c>
      <c r="I9" s="5">
        <v>44.43</v>
      </c>
      <c r="J9" s="5">
        <v>42.2</v>
      </c>
      <c r="K9" s="5">
        <v>44.2</v>
      </c>
      <c r="L9" s="5">
        <v>25.89</v>
      </c>
      <c r="M9" s="5">
        <v>84.64</v>
      </c>
      <c r="N9" s="6">
        <v>2.68</v>
      </c>
      <c r="O9" s="6">
        <v>3.5</v>
      </c>
      <c r="P9" s="6">
        <v>4.6100000000000003</v>
      </c>
    </row>
    <row r="10" spans="1:16" x14ac:dyDescent="0.25">
      <c r="A10" s="1" t="s">
        <v>25</v>
      </c>
      <c r="B10" s="2">
        <v>62.16</v>
      </c>
      <c r="C10" s="3">
        <v>3.9299999999999997</v>
      </c>
      <c r="D10" s="4">
        <v>6.749098402885112E-2</v>
      </c>
      <c r="E10" s="14">
        <v>1.613716897166366E-2</v>
      </c>
      <c r="F10" s="15">
        <v>3930106</v>
      </c>
      <c r="G10" s="15">
        <v>3628991</v>
      </c>
      <c r="H10" s="5">
        <v>58.23</v>
      </c>
      <c r="I10" s="5">
        <v>58.23</v>
      </c>
      <c r="J10" s="5">
        <v>57.99</v>
      </c>
      <c r="K10" s="5">
        <v>62.7</v>
      </c>
      <c r="L10" s="5">
        <v>43.680500000000002</v>
      </c>
      <c r="M10" s="5">
        <v>118.38</v>
      </c>
      <c r="N10" s="6">
        <v>1.7</v>
      </c>
      <c r="O10" s="6">
        <v>4</v>
      </c>
      <c r="P10" s="6">
        <v>4.3600000000000003</v>
      </c>
    </row>
    <row r="11" spans="1:16" x14ac:dyDescent="0.25">
      <c r="A11" s="1" t="s">
        <v>26</v>
      </c>
      <c r="B11" s="2">
        <v>62.42</v>
      </c>
      <c r="C11" s="3">
        <v>1.6499999999999986</v>
      </c>
      <c r="D11" s="4">
        <v>2.7151555043607001E-2</v>
      </c>
      <c r="E11" s="14">
        <v>1.0969312899043364E-2</v>
      </c>
      <c r="F11" s="15">
        <v>4569918</v>
      </c>
      <c r="G11" s="15">
        <v>4906591.8899999997</v>
      </c>
      <c r="H11" s="5">
        <v>60.77</v>
      </c>
      <c r="I11" s="5">
        <v>60.77</v>
      </c>
      <c r="J11" s="5">
        <v>58.9</v>
      </c>
      <c r="K11" s="5">
        <v>63.17</v>
      </c>
      <c r="L11" s="5">
        <v>43.09</v>
      </c>
      <c r="M11" s="5">
        <v>134</v>
      </c>
      <c r="N11" s="6">
        <v>2.83</v>
      </c>
      <c r="O11" s="6">
        <v>4</v>
      </c>
      <c r="P11" s="6">
        <v>4.57</v>
      </c>
    </row>
    <row r="12" spans="1:16" x14ac:dyDescent="0.25">
      <c r="A12" s="1" t="s">
        <v>27</v>
      </c>
      <c r="B12" s="2">
        <v>289.72000000000003</v>
      </c>
      <c r="C12" s="3">
        <v>3.0500000000000114</v>
      </c>
      <c r="D12" s="4">
        <v>1.0639411169637514E-2</v>
      </c>
      <c r="E12" s="14">
        <v>3.2399588319268167E-2</v>
      </c>
      <c r="F12" s="15">
        <v>1120663</v>
      </c>
      <c r="G12" s="15">
        <v>1406324.19</v>
      </c>
      <c r="H12" s="5">
        <v>286.67</v>
      </c>
      <c r="I12" s="5">
        <v>286.67</v>
      </c>
      <c r="J12" s="5">
        <v>288.22000000000003</v>
      </c>
      <c r="K12" s="5">
        <v>294.14</v>
      </c>
      <c r="L12" s="5">
        <v>262.68</v>
      </c>
      <c r="M12" s="5">
        <v>379.23</v>
      </c>
      <c r="N12" s="6">
        <v>3.27</v>
      </c>
      <c r="O12" s="6">
        <v>3.8</v>
      </c>
      <c r="P12" s="6">
        <v>4.3499999999999996</v>
      </c>
    </row>
    <row r="13" spans="1:16" x14ac:dyDescent="0.25">
      <c r="A13" s="1" t="s">
        <v>28</v>
      </c>
      <c r="B13" s="2">
        <v>603.16</v>
      </c>
      <c r="C13" s="3">
        <v>15.209999999999923</v>
      </c>
      <c r="D13" s="4">
        <v>2.586954673016395E-2</v>
      </c>
      <c r="E13" s="14">
        <v>3.3725900335927421E-2</v>
      </c>
      <c r="F13" s="15">
        <v>1185751.545163</v>
      </c>
      <c r="G13" s="15">
        <v>1253035.1000000001</v>
      </c>
      <c r="H13" s="5">
        <v>587.95000000000005</v>
      </c>
      <c r="I13" s="5">
        <v>587.95000000000005</v>
      </c>
      <c r="J13" s="5">
        <v>589.71939999999995</v>
      </c>
      <c r="K13" s="5">
        <v>606.65</v>
      </c>
      <c r="L13" s="5">
        <v>424.12</v>
      </c>
      <c r="M13" s="5">
        <v>692</v>
      </c>
      <c r="N13" s="6">
        <v>4.62</v>
      </c>
      <c r="O13" s="6">
        <v>4.1100000000000003</v>
      </c>
      <c r="P13" s="6">
        <v>3.47</v>
      </c>
    </row>
    <row r="14" spans="1:16" x14ac:dyDescent="0.25">
      <c r="A14" s="1" t="s">
        <v>29</v>
      </c>
      <c r="B14" s="2">
        <v>25.39</v>
      </c>
      <c r="C14" s="3">
        <v>-0.16000000000000014</v>
      </c>
      <c r="D14" s="4">
        <v>-6.2622309197651882E-3</v>
      </c>
      <c r="E14" s="14">
        <v>1.0951899262592405E-2</v>
      </c>
      <c r="F14" s="15">
        <v>1655081.714108</v>
      </c>
      <c r="G14" s="15">
        <v>6490559.0800000001</v>
      </c>
      <c r="H14" s="5">
        <v>25.55</v>
      </c>
      <c r="I14" s="5">
        <v>25.55</v>
      </c>
      <c r="J14" s="5">
        <v>25.13</v>
      </c>
      <c r="K14" s="5">
        <v>26.099900000000002</v>
      </c>
      <c r="L14" s="5">
        <v>20.460100000000001</v>
      </c>
      <c r="M14" s="5">
        <v>42.68</v>
      </c>
      <c r="N14" s="6" t="s">
        <v>22</v>
      </c>
      <c r="O14" s="6">
        <v>4</v>
      </c>
      <c r="P14" s="6" t="s">
        <v>22</v>
      </c>
    </row>
    <row r="15" spans="1:16" x14ac:dyDescent="0.25">
      <c r="A15" s="1" t="s">
        <v>30</v>
      </c>
      <c r="B15" s="2">
        <v>164.92</v>
      </c>
      <c r="C15" s="3">
        <v>1.5099999999999909</v>
      </c>
      <c r="D15" s="4">
        <v>9.2405605532097645E-3</v>
      </c>
      <c r="E15" s="14">
        <v>2.3712580102228431E-2</v>
      </c>
      <c r="F15" s="15">
        <v>935226.94285300002</v>
      </c>
      <c r="G15" s="15">
        <v>1255915.8899999999</v>
      </c>
      <c r="H15" s="5">
        <v>163.41</v>
      </c>
      <c r="I15" s="5">
        <v>163.41</v>
      </c>
      <c r="J15" s="5">
        <v>161.52000000000001</v>
      </c>
      <c r="K15" s="5">
        <v>165.15</v>
      </c>
      <c r="L15" s="5">
        <v>122.1375</v>
      </c>
      <c r="M15" s="5">
        <v>186.12</v>
      </c>
      <c r="N15" s="6">
        <v>3.6</v>
      </c>
      <c r="O15" s="6">
        <v>4</v>
      </c>
      <c r="P15" s="6">
        <v>4.55</v>
      </c>
    </row>
    <row r="16" spans="1:16" x14ac:dyDescent="0.25">
      <c r="A16" s="1" t="s">
        <v>31</v>
      </c>
      <c r="B16" s="2">
        <v>117.26</v>
      </c>
      <c r="C16" s="3">
        <v>4.2800000000000011</v>
      </c>
      <c r="D16" s="4">
        <v>3.7882811117011972E-2</v>
      </c>
      <c r="E16" s="14">
        <v>1.404992896953728E-2</v>
      </c>
      <c r="F16" s="15">
        <v>10026104.6022</v>
      </c>
      <c r="G16" s="15">
        <v>8076519.4199999999</v>
      </c>
      <c r="H16" s="5">
        <v>112.98</v>
      </c>
      <c r="I16" s="5">
        <v>112.98</v>
      </c>
      <c r="J16" s="5">
        <v>113.1</v>
      </c>
      <c r="K16" s="5">
        <v>117.73</v>
      </c>
      <c r="L16" s="5">
        <v>67.11</v>
      </c>
      <c r="M16" s="5">
        <v>134.88</v>
      </c>
      <c r="N16" s="6">
        <v>3.06</v>
      </c>
      <c r="O16" s="6">
        <v>3.91</v>
      </c>
      <c r="P16" s="6">
        <v>4.43</v>
      </c>
    </row>
    <row r="17" spans="1:16" x14ac:dyDescent="0.25">
      <c r="A17" s="1" t="s">
        <v>32</v>
      </c>
      <c r="B17" s="2">
        <v>577.89</v>
      </c>
      <c r="C17" s="3">
        <v>6.3099999999999454</v>
      </c>
      <c r="D17" s="4">
        <v>1.1039574512754058E-2</v>
      </c>
      <c r="E17" s="14">
        <v>3.231291953234481E-2</v>
      </c>
      <c r="F17" s="15">
        <v>643270.46699900005</v>
      </c>
      <c r="G17" s="15">
        <v>961679.66</v>
      </c>
      <c r="H17" s="5">
        <v>571.58000000000004</v>
      </c>
      <c r="I17" s="5">
        <v>571.58000000000004</v>
      </c>
      <c r="J17" s="5">
        <v>573.11</v>
      </c>
      <c r="K17" s="5">
        <v>581.59</v>
      </c>
      <c r="L17" s="5">
        <v>479.02</v>
      </c>
      <c r="M17" s="5">
        <v>774</v>
      </c>
      <c r="N17" s="6">
        <v>3.3</v>
      </c>
      <c r="O17" s="6">
        <v>3.66</v>
      </c>
      <c r="P17" s="6">
        <v>4.04</v>
      </c>
    </row>
    <row r="18" spans="1:16" x14ac:dyDescent="0.25">
      <c r="A18" s="1" t="s">
        <v>33</v>
      </c>
      <c r="B18" s="2">
        <v>9.31</v>
      </c>
      <c r="C18" s="3">
        <v>0.20000000000000107</v>
      </c>
      <c r="D18" s="4">
        <v>2.1953896816685026E-2</v>
      </c>
      <c r="E18" s="14">
        <v>2.5917042634133632E-2</v>
      </c>
      <c r="F18" s="15">
        <v>88050286.409876004</v>
      </c>
      <c r="G18" s="15">
        <v>87970969.420000002</v>
      </c>
      <c r="H18" s="5">
        <v>9.11</v>
      </c>
      <c r="I18" s="5">
        <v>9.11</v>
      </c>
      <c r="J18" s="5">
        <v>9.0399999999999991</v>
      </c>
      <c r="K18" s="5">
        <v>9.6</v>
      </c>
      <c r="L18" s="5">
        <v>3.2</v>
      </c>
      <c r="M18" s="5">
        <v>15.28</v>
      </c>
      <c r="N18" s="6">
        <v>4.82</v>
      </c>
      <c r="O18" s="6">
        <v>3.9</v>
      </c>
      <c r="P18" s="6">
        <v>4.75</v>
      </c>
    </row>
    <row r="19" spans="1:16" x14ac:dyDescent="0.25">
      <c r="A19" s="1" t="s">
        <v>34</v>
      </c>
      <c r="B19" s="2">
        <v>151.05000000000001</v>
      </c>
      <c r="C19" s="3">
        <v>4.0300000000000011</v>
      </c>
      <c r="D19" s="4">
        <v>2.7411236566453612E-2</v>
      </c>
      <c r="E19" s="14">
        <v>0.10738502337001872</v>
      </c>
      <c r="F19" s="15">
        <v>24265023.718761001</v>
      </c>
      <c r="G19" s="15">
        <v>31338288.969999999</v>
      </c>
      <c r="H19" s="5">
        <v>147.02000000000001</v>
      </c>
      <c r="I19" s="5">
        <v>147.02000000000001</v>
      </c>
      <c r="J19" s="5">
        <v>146.62</v>
      </c>
      <c r="K19" s="5">
        <v>151.99</v>
      </c>
      <c r="L19" s="5">
        <v>114.5</v>
      </c>
      <c r="M19" s="5">
        <v>345.72</v>
      </c>
      <c r="N19" s="6">
        <v>3.18</v>
      </c>
      <c r="O19" s="6">
        <v>3.57</v>
      </c>
      <c r="P19" s="6">
        <v>4.45</v>
      </c>
    </row>
    <row r="20" spans="1:16" x14ac:dyDescent="0.25">
      <c r="A20" s="1" t="s">
        <v>35</v>
      </c>
      <c r="B20" s="2">
        <v>51.8</v>
      </c>
      <c r="C20" s="3">
        <v>0.57999999999999829</v>
      </c>
      <c r="D20" s="4">
        <v>1.1323701679031517E-2</v>
      </c>
      <c r="E20" s="14">
        <v>1.6550942535039651E-2</v>
      </c>
      <c r="F20" s="15">
        <v>4568912.5806050003</v>
      </c>
      <c r="G20" s="15">
        <v>4590939.4800000004</v>
      </c>
      <c r="H20" s="5">
        <v>51.22</v>
      </c>
      <c r="I20" s="5">
        <v>51.22</v>
      </c>
      <c r="J20" s="5">
        <v>50.15</v>
      </c>
      <c r="K20" s="5">
        <v>52.11</v>
      </c>
      <c r="L20" s="5">
        <v>30.59</v>
      </c>
      <c r="M20" s="5">
        <v>69.989999999999995</v>
      </c>
      <c r="N20" s="6">
        <v>2.78</v>
      </c>
      <c r="O20" s="6">
        <v>4</v>
      </c>
      <c r="P20" s="6">
        <v>4.22</v>
      </c>
    </row>
    <row r="21" spans="1:16" x14ac:dyDescent="0.25">
      <c r="A21" s="1" t="s">
        <v>36</v>
      </c>
      <c r="B21" s="2">
        <v>186</v>
      </c>
      <c r="C21" s="3">
        <v>-3.5699999999999932</v>
      </c>
      <c r="D21" s="4">
        <v>-1.8832093685709705E-2</v>
      </c>
      <c r="E21" s="14">
        <v>3.6400890507806802E-2</v>
      </c>
      <c r="F21" s="15">
        <v>3148106</v>
      </c>
      <c r="G21" s="15">
        <v>5154333.92</v>
      </c>
      <c r="H21" s="5">
        <v>189.57</v>
      </c>
      <c r="I21" s="5">
        <v>189.57</v>
      </c>
      <c r="J21" s="5">
        <v>185.01</v>
      </c>
      <c r="K21" s="5">
        <v>188.6</v>
      </c>
      <c r="L21" s="5">
        <v>142.11000000000001</v>
      </c>
      <c r="M21" s="5">
        <v>207.76</v>
      </c>
      <c r="N21" s="6">
        <v>3.11</v>
      </c>
      <c r="O21" s="6">
        <v>3.22</v>
      </c>
      <c r="P21" s="6">
        <v>4.25</v>
      </c>
    </row>
    <row r="22" spans="1:16" x14ac:dyDescent="0.25">
      <c r="A22" s="1" t="s">
        <v>37</v>
      </c>
      <c r="B22" s="2">
        <v>184.02</v>
      </c>
      <c r="C22" s="3">
        <v>0.24000000000000909</v>
      </c>
      <c r="D22" s="4">
        <v>1.3059092393079563E-3</v>
      </c>
      <c r="E22" s="14">
        <v>7.2761761603402919E-2</v>
      </c>
      <c r="F22" s="15">
        <v>144372.786574</v>
      </c>
      <c r="G22" s="15">
        <v>200315.9</v>
      </c>
      <c r="H22" s="5">
        <v>183.78</v>
      </c>
      <c r="I22" s="5">
        <v>183.78</v>
      </c>
      <c r="J22" s="5">
        <v>183.73</v>
      </c>
      <c r="K22" s="5">
        <v>185.54</v>
      </c>
      <c r="L22" s="5">
        <v>143.4401</v>
      </c>
      <c r="M22" s="5">
        <v>186.2979</v>
      </c>
      <c r="N22" s="6">
        <v>4.32</v>
      </c>
      <c r="O22" s="6">
        <v>5</v>
      </c>
      <c r="P22" s="6" t="s">
        <v>22</v>
      </c>
    </row>
    <row r="23" spans="1:16" x14ac:dyDescent="0.25">
      <c r="A23" s="1" t="s">
        <v>38</v>
      </c>
      <c r="B23" s="2">
        <v>21.23</v>
      </c>
      <c r="C23" s="3">
        <v>1.0800000000000018</v>
      </c>
      <c r="D23" s="4">
        <v>5.3598014888337486E-2</v>
      </c>
      <c r="E23" s="14">
        <v>1.2209994556641028E-2</v>
      </c>
      <c r="F23" s="15">
        <v>8567722</v>
      </c>
      <c r="G23" s="15">
        <v>10082159.65</v>
      </c>
      <c r="H23" s="5">
        <v>20.149999999999999</v>
      </c>
      <c r="I23" s="5">
        <v>20.149999999999999</v>
      </c>
      <c r="J23" s="5">
        <v>20.47</v>
      </c>
      <c r="K23" s="5">
        <v>21.25</v>
      </c>
      <c r="L23" s="5">
        <v>11.92</v>
      </c>
      <c r="M23" s="5">
        <v>22.675000000000001</v>
      </c>
      <c r="N23" s="6">
        <v>3.31</v>
      </c>
      <c r="O23" s="6">
        <v>4</v>
      </c>
      <c r="P23" s="6">
        <v>4.66</v>
      </c>
    </row>
    <row r="24" spans="1:16" x14ac:dyDescent="0.25">
      <c r="A24" s="1" t="s">
        <v>39</v>
      </c>
      <c r="B24" s="2">
        <v>33.47</v>
      </c>
      <c r="C24" s="3">
        <v>-0.17000000000000171</v>
      </c>
      <c r="D24" s="4">
        <v>-5.0535077288942354E-3</v>
      </c>
      <c r="E24" s="14">
        <v>8.8227227506644038E-2</v>
      </c>
      <c r="F24" s="15">
        <v>879003.61890100001</v>
      </c>
      <c r="G24" s="15">
        <v>617736.48</v>
      </c>
      <c r="H24" s="5">
        <v>33.64</v>
      </c>
      <c r="I24" s="5">
        <v>33.64</v>
      </c>
      <c r="J24" s="5">
        <v>33.35</v>
      </c>
      <c r="K24" s="5">
        <v>33.6</v>
      </c>
      <c r="L24" s="5">
        <v>27.454999999999998</v>
      </c>
      <c r="M24" s="5">
        <v>34.04</v>
      </c>
      <c r="N24" s="6">
        <v>3.06</v>
      </c>
      <c r="O24" s="6">
        <v>4</v>
      </c>
      <c r="P24" s="6" t="s">
        <v>22</v>
      </c>
    </row>
    <row r="25" spans="1:16" x14ac:dyDescent="0.25">
      <c r="A25" s="1" t="s">
        <v>40</v>
      </c>
      <c r="B25" s="2">
        <v>39.369999999999997</v>
      </c>
      <c r="C25" s="3">
        <v>-0.27000000000000313</v>
      </c>
      <c r="D25" s="4">
        <v>-6.8113017154389777E-3</v>
      </c>
      <c r="E25" s="14">
        <v>1.1321419823244401E-2</v>
      </c>
      <c r="F25" s="15">
        <v>250267.56802499999</v>
      </c>
      <c r="G25" s="15">
        <v>222888.65</v>
      </c>
      <c r="H25" s="5">
        <v>39.64</v>
      </c>
      <c r="I25" s="5">
        <v>39.64</v>
      </c>
      <c r="J25" s="5">
        <v>36.549999999999997</v>
      </c>
      <c r="K25" s="5">
        <v>39.56</v>
      </c>
      <c r="L25" s="5">
        <v>30.355</v>
      </c>
      <c r="M25" s="5">
        <v>64.5</v>
      </c>
      <c r="N25" s="6">
        <v>3.67</v>
      </c>
      <c r="O25" s="6">
        <v>5</v>
      </c>
      <c r="P25" s="6">
        <v>5</v>
      </c>
    </row>
    <row r="26" spans="1:16" x14ac:dyDescent="0.25">
      <c r="A26" s="1" t="s">
        <v>41</v>
      </c>
      <c r="B26" s="2">
        <v>19.04</v>
      </c>
      <c r="C26" s="3">
        <v>-0.28999999999999915</v>
      </c>
      <c r="D26" s="4">
        <v>-1.500258665287113E-2</v>
      </c>
      <c r="E26" s="14">
        <v>1.079837169718533E-2</v>
      </c>
      <c r="F26" s="15">
        <v>17425808.071997002</v>
      </c>
      <c r="G26" s="15">
        <v>14024041.890000001</v>
      </c>
      <c r="H26" s="5">
        <v>19.329999999999998</v>
      </c>
      <c r="I26" s="5">
        <v>19.329999999999998</v>
      </c>
      <c r="J26" s="5">
        <v>18.95</v>
      </c>
      <c r="K26" s="5">
        <v>19.7683</v>
      </c>
      <c r="L26" s="5">
        <v>11.45</v>
      </c>
      <c r="M26" s="5">
        <v>43.98</v>
      </c>
      <c r="N26" s="6">
        <v>2.71</v>
      </c>
      <c r="O26" s="6">
        <v>3.85</v>
      </c>
      <c r="P26" s="6">
        <v>4.87</v>
      </c>
    </row>
    <row r="27" spans="1:16" ht="18.75" x14ac:dyDescent="0.25">
      <c r="A27" s="1" t="s">
        <v>286</v>
      </c>
      <c r="B27" s="2">
        <v>268.27999999999997</v>
      </c>
      <c r="C27" s="3">
        <v>-4.1800000000000068</v>
      </c>
      <c r="D27" s="4">
        <v>-1.5341701534170138E-2</v>
      </c>
      <c r="E27" s="14">
        <v>0.32192376689685787</v>
      </c>
      <c r="F27" s="15">
        <v>1311472.4811730001</v>
      </c>
      <c r="G27" s="15">
        <v>1310358.8700000001</v>
      </c>
      <c r="H27" s="5">
        <v>272.45999999999998</v>
      </c>
      <c r="I27" s="5">
        <v>272.45999999999998</v>
      </c>
      <c r="J27" s="5">
        <v>267.98</v>
      </c>
      <c r="K27" s="5">
        <v>283</v>
      </c>
      <c r="L27" s="5">
        <v>167.66</v>
      </c>
      <c r="M27" s="5">
        <v>441.43</v>
      </c>
      <c r="N27" s="6">
        <v>3.2</v>
      </c>
      <c r="O27" s="6">
        <v>3.33</v>
      </c>
      <c r="P27" s="6">
        <v>4.8</v>
      </c>
    </row>
    <row r="28" spans="1:16" ht="18.75" x14ac:dyDescent="0.25">
      <c r="A28" s="1" t="s">
        <v>287</v>
      </c>
      <c r="B28" s="2">
        <v>325.14999999999998</v>
      </c>
      <c r="C28" s="3">
        <v>-53.980000000000018</v>
      </c>
      <c r="D28" s="4">
        <v>-0.14237860364518773</v>
      </c>
      <c r="E28" s="14">
        <v>0.39016517372339848</v>
      </c>
      <c r="F28" s="15">
        <v>9845633</v>
      </c>
      <c r="G28" s="15">
        <v>5738966.6900000004</v>
      </c>
      <c r="H28" s="5">
        <v>379.13</v>
      </c>
      <c r="I28" s="5">
        <v>379.13</v>
      </c>
      <c r="J28" s="5">
        <v>325</v>
      </c>
      <c r="K28" s="5">
        <v>386.5</v>
      </c>
      <c r="L28" s="5">
        <v>84.350200000000001</v>
      </c>
      <c r="M28" s="5">
        <v>440</v>
      </c>
      <c r="N28" s="6">
        <v>3.43</v>
      </c>
      <c r="O28" s="6">
        <v>3.7</v>
      </c>
      <c r="P28" s="6">
        <v>4.33</v>
      </c>
    </row>
    <row r="29" spans="1:16" ht="18.75" x14ac:dyDescent="0.25">
      <c r="A29" s="1" t="s">
        <v>288</v>
      </c>
      <c r="B29" s="2">
        <v>239.935</v>
      </c>
      <c r="C29" s="3">
        <v>-9.9549999999999841</v>
      </c>
      <c r="D29" s="4">
        <v>-3.9837528512545406E-2</v>
      </c>
      <c r="E29" s="14">
        <v>0.28791105937974359</v>
      </c>
      <c r="F29" s="15">
        <v>4320595.5648339996</v>
      </c>
      <c r="G29" s="15">
        <v>8167129.1900000004</v>
      </c>
      <c r="H29" s="5">
        <v>249.89</v>
      </c>
      <c r="I29" s="5">
        <v>249.89</v>
      </c>
      <c r="J29" s="5">
        <v>239.7808</v>
      </c>
      <c r="K29" s="5">
        <v>264.5</v>
      </c>
      <c r="L29" s="5">
        <v>86.484999999999999</v>
      </c>
      <c r="M29" s="5">
        <v>308.66989999999998</v>
      </c>
      <c r="N29" s="6">
        <v>4.91</v>
      </c>
      <c r="O29" s="6">
        <v>3.9</v>
      </c>
      <c r="P29" s="6">
        <v>4.68</v>
      </c>
    </row>
    <row r="30" spans="1:16" ht="18.75" x14ac:dyDescent="0.25">
      <c r="A30" s="1" t="s">
        <v>21</v>
      </c>
      <c r="B30" s="2">
        <v>51.21</v>
      </c>
      <c r="C30" s="3">
        <v>-8.9999999999996305E-2</v>
      </c>
      <c r="D30" s="4">
        <v>-1.7543859649121751E-3</v>
      </c>
      <c r="E30" s="15" t="s">
        <v>289</v>
      </c>
      <c r="F30" s="15" t="s">
        <v>290</v>
      </c>
      <c r="G30" s="15" t="s">
        <v>291</v>
      </c>
      <c r="H30" s="15" t="s">
        <v>182</v>
      </c>
      <c r="I30" s="17" t="s">
        <v>292</v>
      </c>
      <c r="J30"/>
      <c r="K30"/>
      <c r="L30"/>
      <c r="M30"/>
      <c r="N30"/>
      <c r="O30"/>
      <c r="P30"/>
    </row>
    <row r="31" spans="1:16" ht="18.75" x14ac:dyDescent="0.25">
      <c r="A31" s="1" t="s">
        <v>293</v>
      </c>
      <c r="B31" s="2">
        <v>79.62</v>
      </c>
      <c r="C31" s="3">
        <v>0.15000000000000568</v>
      </c>
      <c r="D31" s="4">
        <v>1.8875047187618677E-3</v>
      </c>
      <c r="E31" s="15" t="s">
        <v>294</v>
      </c>
      <c r="F31" s="15" t="s">
        <v>295</v>
      </c>
      <c r="G31" s="15" t="s">
        <v>296</v>
      </c>
      <c r="H31" s="15" t="s">
        <v>182</v>
      </c>
      <c r="I31" s="17" t="s">
        <v>297</v>
      </c>
      <c r="J31"/>
      <c r="K31"/>
      <c r="L31"/>
      <c r="M31"/>
      <c r="N31"/>
      <c r="O31"/>
      <c r="P31"/>
    </row>
    <row r="32" spans="1:16" ht="18.75" x14ac:dyDescent="0.25">
      <c r="A32" s="1" t="s">
        <v>298</v>
      </c>
      <c r="B32" s="2">
        <v>720.87</v>
      </c>
      <c r="C32" s="3">
        <v>-2.1599999999999682</v>
      </c>
      <c r="D32" s="4">
        <v>-2.9874279075556842E-3</v>
      </c>
      <c r="E32" s="15" t="s">
        <v>299</v>
      </c>
      <c r="F32" s="15" t="s">
        <v>300</v>
      </c>
      <c r="G32" s="15" t="s">
        <v>301</v>
      </c>
      <c r="H32" s="15" t="s">
        <v>182</v>
      </c>
      <c r="I32" s="17" t="s">
        <v>302</v>
      </c>
      <c r="J32"/>
      <c r="K32"/>
      <c r="L32"/>
      <c r="M32"/>
      <c r="N32"/>
      <c r="O32"/>
      <c r="P32"/>
    </row>
    <row r="33" spans="1:16" ht="18.75" x14ac:dyDescent="0.25">
      <c r="A33" s="1" t="s">
        <v>303</v>
      </c>
      <c r="B33" s="2">
        <v>34.19</v>
      </c>
      <c r="C33" s="3">
        <v>0.28999999999999915</v>
      </c>
      <c r="D33" s="4">
        <v>8.5545722713864514E-3</v>
      </c>
      <c r="E33" s="15" t="s">
        <v>304</v>
      </c>
      <c r="F33" s="15" t="s">
        <v>290</v>
      </c>
      <c r="G33" s="15" t="s">
        <v>305</v>
      </c>
      <c r="H33" s="15" t="s">
        <v>182</v>
      </c>
      <c r="I33" s="17" t="s">
        <v>302</v>
      </c>
      <c r="J33"/>
      <c r="K33"/>
      <c r="L33"/>
      <c r="M33"/>
      <c r="N33"/>
      <c r="O33"/>
      <c r="P33"/>
    </row>
    <row r="34" spans="1:16" ht="18.75" x14ac:dyDescent="0.25">
      <c r="A34" s="1" t="s">
        <v>306</v>
      </c>
      <c r="B34" s="2">
        <v>773.03</v>
      </c>
      <c r="C34" s="3">
        <v>-0.23000000000001819</v>
      </c>
      <c r="D34" s="4">
        <v>-2.9744199881021061E-4</v>
      </c>
      <c r="E34" s="15" t="s">
        <v>307</v>
      </c>
      <c r="F34" s="15" t="s">
        <v>308</v>
      </c>
      <c r="G34" s="15" t="s">
        <v>309</v>
      </c>
      <c r="H34" s="15" t="s">
        <v>182</v>
      </c>
      <c r="I34" s="17" t="s">
        <v>302</v>
      </c>
      <c r="J34"/>
      <c r="K34"/>
      <c r="L34"/>
      <c r="M34"/>
      <c r="N34"/>
      <c r="O34"/>
      <c r="P34"/>
    </row>
    <row r="35" spans="1:16" ht="20.100000000000001" customHeight="1" x14ac:dyDescent="0.25">
      <c r="A35" s="21" t="s">
        <v>310</v>
      </c>
      <c r="B35" s="22">
        <v>132.81</v>
      </c>
      <c r="C35" s="23">
        <v>-2.8199999999999932</v>
      </c>
      <c r="D35" s="24">
        <v>-2.0791860207918567E-2</v>
      </c>
      <c r="E35" s="27">
        <v>2.8410288113820847E-2</v>
      </c>
      <c r="F35" s="28">
        <v>18508693.628662001</v>
      </c>
      <c r="G35" s="28">
        <v>12135596.689999999</v>
      </c>
      <c r="H35" s="25">
        <v>135.63</v>
      </c>
      <c r="I35" s="25">
        <v>135.63</v>
      </c>
      <c r="J35" s="25">
        <v>128.80000000000001</v>
      </c>
      <c r="K35" s="25">
        <v>148.9</v>
      </c>
      <c r="L35" s="25">
        <v>18.5</v>
      </c>
      <c r="M35" s="25">
        <v>233.67</v>
      </c>
      <c r="N35" s="26">
        <v>3.45</v>
      </c>
      <c r="O35" s="26">
        <v>3.87</v>
      </c>
      <c r="P35" s="26">
        <v>3.66</v>
      </c>
    </row>
    <row r="36" spans="1:16" ht="20.100000000000001" customHeight="1" x14ac:dyDescent="0.25">
      <c r="A36" s="21" t="s">
        <v>311</v>
      </c>
      <c r="B36" s="22">
        <v>29.69</v>
      </c>
      <c r="C36" s="23">
        <v>-0.44999999999999929</v>
      </c>
      <c r="D36" s="24">
        <v>-1.4930325149303258E-2</v>
      </c>
      <c r="E36" s="27">
        <v>6.3511893238411329E-3</v>
      </c>
      <c r="F36" s="28">
        <v>904808.892445</v>
      </c>
      <c r="G36" s="28">
        <v>1440997.73</v>
      </c>
      <c r="H36" s="25">
        <v>30.14</v>
      </c>
      <c r="I36" s="25">
        <v>30.14</v>
      </c>
      <c r="J36" s="25">
        <v>29.675000000000001</v>
      </c>
      <c r="K36" s="25">
        <v>30.38</v>
      </c>
      <c r="L36" s="25">
        <v>19.170000000000002</v>
      </c>
      <c r="M36" s="25">
        <v>34.789900000000003</v>
      </c>
      <c r="N36" s="26">
        <v>3.97</v>
      </c>
      <c r="O36" s="26">
        <v>4</v>
      </c>
      <c r="P36" s="26" t="s">
        <v>22</v>
      </c>
    </row>
    <row r="37" spans="1:16" ht="20.100000000000001" customHeight="1" x14ac:dyDescent="0.25">
      <c r="A37" s="21" t="s">
        <v>312</v>
      </c>
      <c r="B37" s="22">
        <v>67.319999999999993</v>
      </c>
      <c r="C37" s="23">
        <v>-1.6100000000000136</v>
      </c>
      <c r="D37" s="24">
        <v>-2.3357028869868124E-2</v>
      </c>
      <c r="E37" s="27">
        <v>1.4400877914482489E-2</v>
      </c>
      <c r="F37" s="28">
        <v>294247</v>
      </c>
      <c r="G37" s="28">
        <v>699872.97</v>
      </c>
      <c r="H37" s="25">
        <v>68.930000000000007</v>
      </c>
      <c r="I37" s="25">
        <v>68.930000000000007</v>
      </c>
      <c r="J37" s="25">
        <v>67.319999999999993</v>
      </c>
      <c r="K37" s="25">
        <v>69.099999999999994</v>
      </c>
      <c r="L37" s="25">
        <v>28.34</v>
      </c>
      <c r="M37" s="25">
        <v>88.795000000000002</v>
      </c>
      <c r="N37" s="26">
        <v>4.62</v>
      </c>
      <c r="O37" s="26">
        <v>4</v>
      </c>
      <c r="P37" s="26" t="s">
        <v>22</v>
      </c>
    </row>
    <row r="38" spans="1:16" ht="20.100000000000001" customHeight="1" x14ac:dyDescent="0.25">
      <c r="A38" s="21" t="s">
        <v>313</v>
      </c>
      <c r="B38" s="22">
        <v>314.58999999999997</v>
      </c>
      <c r="C38" s="23">
        <v>-3.2400000000000091</v>
      </c>
      <c r="D38" s="24">
        <v>-1.0194128936853009E-2</v>
      </c>
      <c r="E38" s="27">
        <v>6.7296081151471274E-2</v>
      </c>
      <c r="F38" s="28">
        <v>2298384.2921759998</v>
      </c>
      <c r="G38" s="28">
        <v>2386954.13</v>
      </c>
      <c r="H38" s="25">
        <v>317.83</v>
      </c>
      <c r="I38" s="25">
        <v>317.83</v>
      </c>
      <c r="J38" s="25">
        <v>314.47000000000003</v>
      </c>
      <c r="K38" s="25">
        <v>329.37</v>
      </c>
      <c r="L38" s="25">
        <v>173.23</v>
      </c>
      <c r="M38" s="25">
        <v>474.02499999999998</v>
      </c>
      <c r="N38" s="26">
        <v>4.28</v>
      </c>
      <c r="O38" s="26">
        <v>3.81</v>
      </c>
      <c r="P38" s="26">
        <v>4.68</v>
      </c>
    </row>
    <row r="39" spans="1:16" ht="20.100000000000001" customHeight="1" x14ac:dyDescent="0.25">
      <c r="A39" s="21" t="s">
        <v>287</v>
      </c>
      <c r="B39" s="22">
        <v>325.14999999999998</v>
      </c>
      <c r="C39" s="23">
        <v>-53.980000000000018</v>
      </c>
      <c r="D39" s="24">
        <v>-0.14237860364518773</v>
      </c>
      <c r="E39" s="27">
        <v>6.9555042392958719E-2</v>
      </c>
      <c r="F39" s="28">
        <v>9845633</v>
      </c>
      <c r="G39" s="28">
        <v>5738966.6900000004</v>
      </c>
      <c r="H39" s="25">
        <v>379.13</v>
      </c>
      <c r="I39" s="25">
        <v>379.13</v>
      </c>
      <c r="J39" s="25">
        <v>325</v>
      </c>
      <c r="K39" s="25">
        <v>386.5</v>
      </c>
      <c r="L39" s="25">
        <v>84.350200000000001</v>
      </c>
      <c r="M39" s="25">
        <v>440</v>
      </c>
      <c r="N39" s="26">
        <v>3.43</v>
      </c>
      <c r="O39" s="26">
        <v>3.7</v>
      </c>
      <c r="P39" s="26">
        <v>4.33</v>
      </c>
    </row>
    <row r="40" spans="1:16" ht="20.100000000000001" customHeight="1" x14ac:dyDescent="0.25">
      <c r="A40" s="21" t="s">
        <v>288</v>
      </c>
      <c r="B40" s="22">
        <v>239.935</v>
      </c>
      <c r="C40" s="23">
        <v>-9.9549999999999841</v>
      </c>
      <c r="D40" s="24">
        <v>-3.9837528512545406E-2</v>
      </c>
      <c r="E40" s="27">
        <v>5.1326123624648785E-2</v>
      </c>
      <c r="F40" s="28">
        <v>4320595.5648339996</v>
      </c>
      <c r="G40" s="28">
        <v>8167129.1900000004</v>
      </c>
      <c r="H40" s="25">
        <v>249.89</v>
      </c>
      <c r="I40" s="25">
        <v>249.89</v>
      </c>
      <c r="J40" s="25">
        <v>239.7808</v>
      </c>
      <c r="K40" s="25">
        <v>264.5</v>
      </c>
      <c r="L40" s="25">
        <v>86.484999999999999</v>
      </c>
      <c r="M40" s="25">
        <v>308.66989999999998</v>
      </c>
      <c r="N40" s="26">
        <v>4.91</v>
      </c>
      <c r="O40" s="26">
        <v>3.9</v>
      </c>
      <c r="P40" s="26">
        <v>4.68</v>
      </c>
    </row>
    <row r="41" spans="1:16" ht="20.100000000000001" customHeight="1" x14ac:dyDescent="0.25">
      <c r="A41" s="21" t="s">
        <v>314</v>
      </c>
      <c r="B41" s="22">
        <v>197.51</v>
      </c>
      <c r="C41" s="23">
        <v>4.7699999999999818</v>
      </c>
      <c r="D41" s="24">
        <v>2.4748365673964878E-2</v>
      </c>
      <c r="E41" s="27">
        <v>4.2250704053616105E-2</v>
      </c>
      <c r="F41" s="28">
        <v>9706611.3959490005</v>
      </c>
      <c r="G41" s="28">
        <v>14920024.4</v>
      </c>
      <c r="H41" s="25">
        <v>192.74</v>
      </c>
      <c r="I41" s="25">
        <v>192.74</v>
      </c>
      <c r="J41" s="25">
        <v>190</v>
      </c>
      <c r="K41" s="25">
        <v>198.184</v>
      </c>
      <c r="L41" s="25">
        <v>146.32</v>
      </c>
      <c r="M41" s="25">
        <v>269.11</v>
      </c>
      <c r="N41" s="26">
        <v>3.4</v>
      </c>
      <c r="O41" s="26">
        <v>4.1500000000000004</v>
      </c>
      <c r="P41" s="26">
        <v>4.32</v>
      </c>
    </row>
    <row r="42" spans="1:16" ht="20.100000000000001" customHeight="1" x14ac:dyDescent="0.25">
      <c r="A42" s="21" t="s">
        <v>315</v>
      </c>
      <c r="B42" s="22">
        <v>88.19</v>
      </c>
      <c r="C42" s="23">
        <v>-2.480000000000004</v>
      </c>
      <c r="D42" s="24">
        <v>-2.7351935590603338E-2</v>
      </c>
      <c r="E42" s="27">
        <v>1.8865321201399447E-2</v>
      </c>
      <c r="F42" s="28">
        <v>20894776.162262999</v>
      </c>
      <c r="G42" s="28">
        <v>28360862.52</v>
      </c>
      <c r="H42" s="25">
        <v>90.67</v>
      </c>
      <c r="I42" s="25">
        <v>90.67</v>
      </c>
      <c r="J42" s="25">
        <v>88.17</v>
      </c>
      <c r="K42" s="25">
        <v>93.98</v>
      </c>
      <c r="L42" s="25">
        <v>60.55</v>
      </c>
      <c r="M42" s="25">
        <v>153.19990000000001</v>
      </c>
      <c r="N42" s="26">
        <v>2.16</v>
      </c>
      <c r="O42" s="26">
        <v>3.86</v>
      </c>
      <c r="P42" s="26">
        <v>4.18</v>
      </c>
    </row>
    <row r="43" spans="1:16" ht="20.100000000000001" customHeight="1" x14ac:dyDescent="0.25">
      <c r="A43" s="21" t="s">
        <v>316</v>
      </c>
      <c r="B43" s="22">
        <v>49.6</v>
      </c>
      <c r="C43" s="23">
        <v>-1</v>
      </c>
      <c r="D43" s="24">
        <v>-1.9762845849802368E-2</v>
      </c>
      <c r="E43" s="27">
        <v>1.0610272497895597E-2</v>
      </c>
      <c r="F43" s="28">
        <v>27639429.565393999</v>
      </c>
      <c r="G43" s="28">
        <v>60813233.520000003</v>
      </c>
      <c r="H43" s="25">
        <v>50.6</v>
      </c>
      <c r="I43" s="25">
        <v>50.6</v>
      </c>
      <c r="J43" s="25">
        <v>49.17</v>
      </c>
      <c r="K43" s="25">
        <v>50.935000000000002</v>
      </c>
      <c r="L43" s="25">
        <v>26.14</v>
      </c>
      <c r="M43" s="25">
        <v>81.34</v>
      </c>
      <c r="N43" s="26" t="s">
        <v>22</v>
      </c>
      <c r="O43" s="26">
        <v>3.33</v>
      </c>
      <c r="P43" s="26" t="s">
        <v>22</v>
      </c>
    </row>
    <row r="44" spans="1:16" ht="20.100000000000001" customHeight="1" x14ac:dyDescent="0.25">
      <c r="A44" s="21" t="s">
        <v>317</v>
      </c>
      <c r="B44" s="22">
        <v>162.88</v>
      </c>
      <c r="C44" s="23">
        <v>-0.84000000000000341</v>
      </c>
      <c r="D44" s="24">
        <v>-5.1307109699486597E-3</v>
      </c>
      <c r="E44" s="27">
        <v>3.484276581567005E-2</v>
      </c>
      <c r="F44" s="28">
        <v>473379</v>
      </c>
      <c r="G44" s="28">
        <v>518672.34</v>
      </c>
      <c r="H44" s="25">
        <v>163.72</v>
      </c>
      <c r="I44" s="25">
        <v>163.72</v>
      </c>
      <c r="J44" s="25">
        <v>162.75</v>
      </c>
      <c r="K44" s="25">
        <v>164.625</v>
      </c>
      <c r="L44" s="25">
        <v>112.6</v>
      </c>
      <c r="M44" s="25">
        <v>171.48</v>
      </c>
      <c r="N44" s="26">
        <v>4.45</v>
      </c>
      <c r="O44" s="26">
        <v>5</v>
      </c>
      <c r="P44" s="26" t="s">
        <v>22</v>
      </c>
    </row>
    <row r="45" spans="1:16" ht="20.100000000000001" customHeight="1" x14ac:dyDescent="0.25">
      <c r="A45" s="21" t="s">
        <v>24</v>
      </c>
      <c r="B45" s="22">
        <v>42.53</v>
      </c>
      <c r="C45" s="23">
        <v>-1.8999999999999986</v>
      </c>
      <c r="D45" s="24">
        <v>-4.2763898266936717E-2</v>
      </c>
      <c r="E45" s="27">
        <v>9.0978808333770107E-3</v>
      </c>
      <c r="F45" s="28">
        <v>17017392.781773001</v>
      </c>
      <c r="G45" s="28">
        <v>26465903.899999999</v>
      </c>
      <c r="H45" s="25">
        <v>44.43</v>
      </c>
      <c r="I45" s="25">
        <v>44.43</v>
      </c>
      <c r="J45" s="25">
        <v>42.2</v>
      </c>
      <c r="K45" s="25">
        <v>44.2</v>
      </c>
      <c r="L45" s="25">
        <v>25.89</v>
      </c>
      <c r="M45" s="25">
        <v>84.64</v>
      </c>
      <c r="N45" s="26">
        <v>2.68</v>
      </c>
      <c r="O45" s="26">
        <v>3.5</v>
      </c>
      <c r="P45" s="26">
        <v>4.6100000000000003</v>
      </c>
    </row>
    <row r="46" spans="1:16" ht="20.100000000000001" customHeight="1" x14ac:dyDescent="0.25">
      <c r="A46" s="21" t="s">
        <v>318</v>
      </c>
      <c r="B46" s="22">
        <v>38.74</v>
      </c>
      <c r="C46" s="23">
        <v>-2.4899999999999949</v>
      </c>
      <c r="D46" s="24">
        <v>-6.0392917778316679E-2</v>
      </c>
      <c r="E46" s="27">
        <v>8.2871362211386149E-3</v>
      </c>
      <c r="F46" s="28">
        <v>33395815.999673001</v>
      </c>
      <c r="G46" s="28">
        <v>47207344.259999998</v>
      </c>
      <c r="H46" s="25">
        <v>41.23</v>
      </c>
      <c r="I46" s="25">
        <v>41.23</v>
      </c>
      <c r="J46" s="25">
        <v>38.69</v>
      </c>
      <c r="K46" s="25">
        <v>41.31</v>
      </c>
      <c r="L46" s="25">
        <v>17.22</v>
      </c>
      <c r="M46" s="25">
        <v>76.87</v>
      </c>
      <c r="N46" s="26">
        <v>2.82</v>
      </c>
      <c r="O46" s="26">
        <v>4.0599999999999996</v>
      </c>
      <c r="P46" s="26">
        <v>4.37</v>
      </c>
    </row>
    <row r="47" spans="1:16" ht="20.100000000000001" customHeight="1" x14ac:dyDescent="0.25">
      <c r="A47" s="21" t="s">
        <v>286</v>
      </c>
      <c r="B47" s="22">
        <v>268.27999999999997</v>
      </c>
      <c r="C47" s="23">
        <v>-4.1800000000000068</v>
      </c>
      <c r="D47" s="24">
        <v>-1.5341701534170138E-2</v>
      </c>
      <c r="E47" s="27">
        <v>5.7389594873698185E-2</v>
      </c>
      <c r="F47" s="28">
        <v>1311472.4811730001</v>
      </c>
      <c r="G47" s="28">
        <v>1310358.8700000001</v>
      </c>
      <c r="H47" s="25">
        <v>272.45999999999998</v>
      </c>
      <c r="I47" s="25">
        <v>272.45999999999998</v>
      </c>
      <c r="J47" s="25">
        <v>267.98</v>
      </c>
      <c r="K47" s="25">
        <v>283</v>
      </c>
      <c r="L47" s="25">
        <v>167.66</v>
      </c>
      <c r="M47" s="25">
        <v>441.43</v>
      </c>
      <c r="N47" s="26">
        <v>3.2</v>
      </c>
      <c r="O47" s="26">
        <v>3.33</v>
      </c>
      <c r="P47" s="26">
        <v>4.8</v>
      </c>
    </row>
    <row r="48" spans="1:16" ht="20.100000000000001" customHeight="1" x14ac:dyDescent="0.25">
      <c r="A48" s="21" t="s">
        <v>319</v>
      </c>
      <c r="B48" s="22">
        <v>127.44</v>
      </c>
      <c r="C48" s="23">
        <v>2.5600000000000023</v>
      </c>
      <c r="D48" s="24">
        <v>2.0499679692504769E-2</v>
      </c>
      <c r="E48" s="27">
        <v>2.7261554982496262E-2</v>
      </c>
      <c r="F48" s="28">
        <v>17216070.459486</v>
      </c>
      <c r="G48" s="28">
        <v>27792565.5</v>
      </c>
      <c r="H48" s="25">
        <v>124.88</v>
      </c>
      <c r="I48" s="25">
        <v>124.88</v>
      </c>
      <c r="J48" s="25">
        <v>123.28</v>
      </c>
      <c r="K48" s="25">
        <v>127.89</v>
      </c>
      <c r="L48" s="25">
        <v>81.239999999999995</v>
      </c>
      <c r="M48" s="25">
        <v>194.726</v>
      </c>
      <c r="N48" s="26">
        <v>3.09</v>
      </c>
      <c r="O48" s="26">
        <v>4.25</v>
      </c>
      <c r="P48" s="26">
        <v>4.53</v>
      </c>
    </row>
    <row r="49" spans="1:16" ht="20.100000000000001" customHeight="1" x14ac:dyDescent="0.25">
      <c r="A49" s="21" t="s">
        <v>33</v>
      </c>
      <c r="B49" s="22">
        <v>9.31</v>
      </c>
      <c r="C49" s="23">
        <v>0.20000000000000107</v>
      </c>
      <c r="D49" s="24">
        <v>2.1953896816685026E-2</v>
      </c>
      <c r="E49" s="27">
        <v>1.9915652611977421E-3</v>
      </c>
      <c r="F49" s="28">
        <v>88050286.409876004</v>
      </c>
      <c r="G49" s="28">
        <v>87970969.420000002</v>
      </c>
      <c r="H49" s="25">
        <v>9.11</v>
      </c>
      <c r="I49" s="25">
        <v>9.11</v>
      </c>
      <c r="J49" s="25">
        <v>9.0399999999999991</v>
      </c>
      <c r="K49" s="25">
        <v>9.6</v>
      </c>
      <c r="L49" s="25">
        <v>3.2</v>
      </c>
      <c r="M49" s="25">
        <v>15.28</v>
      </c>
      <c r="N49" s="26">
        <v>4.82</v>
      </c>
      <c r="O49" s="26">
        <v>3.9</v>
      </c>
      <c r="P49" s="26">
        <v>4.75</v>
      </c>
    </row>
    <row r="50" spans="1:16" ht="20.100000000000001" customHeight="1" x14ac:dyDescent="0.25">
      <c r="A50" s="21" t="s">
        <v>320</v>
      </c>
      <c r="B50" s="22">
        <v>20.190000000000001</v>
      </c>
      <c r="C50" s="23">
        <v>-0.57000000000000028</v>
      </c>
      <c r="D50" s="24">
        <v>-2.7456647398843903E-2</v>
      </c>
      <c r="E50" s="27">
        <v>4.3189798736393567E-3</v>
      </c>
      <c r="F50" s="28">
        <v>13193276.248774</v>
      </c>
      <c r="G50" s="28">
        <v>30366730.739999998</v>
      </c>
      <c r="H50" s="25">
        <v>20.76</v>
      </c>
      <c r="I50" s="25">
        <v>20.76</v>
      </c>
      <c r="J50" s="25">
        <v>20.02</v>
      </c>
      <c r="K50" s="25">
        <v>20.89</v>
      </c>
      <c r="L50" s="25">
        <v>12.75</v>
      </c>
      <c r="M50" s="25">
        <v>46.75</v>
      </c>
      <c r="N50" s="26">
        <v>3.04</v>
      </c>
      <c r="O50" s="26">
        <v>3.66</v>
      </c>
      <c r="P50" s="26">
        <v>4.8099999999999996</v>
      </c>
    </row>
    <row r="51" spans="1:16" ht="20.100000000000001" customHeight="1" x14ac:dyDescent="0.25">
      <c r="A51" s="21" t="s">
        <v>298</v>
      </c>
      <c r="B51" s="22">
        <v>720.87</v>
      </c>
      <c r="C51" s="23">
        <v>-2.1599999999999682</v>
      </c>
      <c r="D51" s="24">
        <v>-2.9874279075556842E-3</v>
      </c>
      <c r="E51" s="27">
        <v>0.15420619224915319</v>
      </c>
      <c r="F51" s="28">
        <v>26243183.458809</v>
      </c>
      <c r="G51" s="28">
        <v>44307474.729999997</v>
      </c>
      <c r="H51" s="25">
        <v>723.03</v>
      </c>
      <c r="I51" s="25">
        <v>723.03</v>
      </c>
      <c r="J51" s="25">
        <v>720.33</v>
      </c>
      <c r="K51" s="25">
        <v>724.67</v>
      </c>
      <c r="L51" s="25">
        <v>555.6</v>
      </c>
      <c r="M51" s="25">
        <v>748.65</v>
      </c>
      <c r="N51" s="26">
        <v>4.34</v>
      </c>
      <c r="O51" s="26">
        <v>3.1</v>
      </c>
      <c r="P51" s="26" t="s">
        <v>22</v>
      </c>
    </row>
    <row r="52" spans="1:16" ht="20.100000000000001" customHeight="1" x14ac:dyDescent="0.25">
      <c r="A52" s="21" t="s">
        <v>306</v>
      </c>
      <c r="B52" s="22">
        <v>773.03</v>
      </c>
      <c r="C52" s="23">
        <v>-0.23000000000001819</v>
      </c>
      <c r="D52" s="24">
        <v>-2.9744199881021061E-4</v>
      </c>
      <c r="E52" s="27">
        <v>0.16536409171468211</v>
      </c>
      <c r="F52" s="28">
        <v>39249478.942612</v>
      </c>
      <c r="G52" s="28">
        <v>53175014.689999998</v>
      </c>
      <c r="H52" s="25">
        <v>773.26</v>
      </c>
      <c r="I52" s="25">
        <v>773.26</v>
      </c>
      <c r="J52" s="25">
        <v>771.62</v>
      </c>
      <c r="K52" s="25">
        <v>775.05</v>
      </c>
      <c r="L52" s="25">
        <v>629.28</v>
      </c>
      <c r="M52" s="25">
        <v>776.85</v>
      </c>
      <c r="N52" s="26">
        <v>4.2300000000000004</v>
      </c>
      <c r="O52" s="26">
        <v>3.21</v>
      </c>
      <c r="P52" s="26" t="s">
        <v>22</v>
      </c>
    </row>
    <row r="53" spans="1:16" ht="20.100000000000001" customHeight="1" x14ac:dyDescent="0.25">
      <c r="A53" s="21" t="s">
        <v>321</v>
      </c>
      <c r="B53" s="22">
        <v>418.47</v>
      </c>
      <c r="C53" s="23">
        <v>-1.5699999999999932</v>
      </c>
      <c r="D53" s="24">
        <v>-3.7377392629273087E-3</v>
      </c>
      <c r="E53" s="27">
        <v>8.951775669746713E-2</v>
      </c>
      <c r="F53" s="28">
        <v>11776122.100933</v>
      </c>
      <c r="G53" s="28">
        <v>14131659.35</v>
      </c>
      <c r="H53" s="25">
        <v>420.04</v>
      </c>
      <c r="I53" s="25">
        <v>420.04</v>
      </c>
      <c r="J53" s="25">
        <v>416</v>
      </c>
      <c r="K53" s="25">
        <v>425.88</v>
      </c>
      <c r="L53" s="25">
        <v>223.7</v>
      </c>
      <c r="M53" s="25">
        <v>479</v>
      </c>
      <c r="N53" s="26">
        <v>3.49</v>
      </c>
      <c r="O53" s="26">
        <v>4</v>
      </c>
      <c r="P53" s="26">
        <v>4.57</v>
      </c>
    </row>
    <row r="54" spans="1:16" ht="20.100000000000001" customHeight="1" x14ac:dyDescent="0.25">
      <c r="A54" s="21" t="s">
        <v>322</v>
      </c>
      <c r="B54" s="22">
        <v>270.10000000000002</v>
      </c>
      <c r="C54" s="23">
        <v>-2.2999999999999545</v>
      </c>
      <c r="D54" s="24">
        <v>-8.4434654919234298E-3</v>
      </c>
      <c r="E54" s="27">
        <v>5.7778923421000015E-2</v>
      </c>
      <c r="F54" s="28">
        <v>2859542</v>
      </c>
      <c r="G54" s="28">
        <v>6465330.71</v>
      </c>
      <c r="H54" s="25">
        <v>272.39999999999998</v>
      </c>
      <c r="I54" s="25">
        <v>272.39999999999998</v>
      </c>
      <c r="J54" s="25">
        <v>267.52</v>
      </c>
      <c r="K54" s="25">
        <v>278.68</v>
      </c>
      <c r="L54" s="25">
        <v>118.7</v>
      </c>
      <c r="M54" s="25">
        <v>379.935</v>
      </c>
      <c r="N54" s="26">
        <v>3.29</v>
      </c>
      <c r="O54" s="26">
        <v>3.84</v>
      </c>
      <c r="P54" s="26">
        <v>4.5999999999999996</v>
      </c>
    </row>
    <row r="55" spans="1:16" ht="20.100000000000001" customHeight="1" x14ac:dyDescent="0.25">
      <c r="A55" s="21" t="s">
        <v>323</v>
      </c>
      <c r="B55" s="22">
        <v>378.08</v>
      </c>
      <c r="C55" s="23">
        <v>1.589999999999975</v>
      </c>
      <c r="D55" s="24">
        <v>4.2232197402320981E-3</v>
      </c>
      <c r="E55" s="27">
        <v>8.0877657782346096E-2</v>
      </c>
      <c r="F55" s="28">
        <v>564432.72791500005</v>
      </c>
      <c r="G55" s="28">
        <v>1018398.61</v>
      </c>
      <c r="H55" s="25">
        <v>376.49</v>
      </c>
      <c r="I55" s="25">
        <v>376.49</v>
      </c>
      <c r="J55" s="25">
        <v>373.38</v>
      </c>
      <c r="K55" s="25">
        <v>380.82350000000002</v>
      </c>
      <c r="L55" s="25">
        <v>199.05</v>
      </c>
      <c r="M55" s="25">
        <v>383.63</v>
      </c>
      <c r="N55" s="26">
        <v>3.46</v>
      </c>
      <c r="O55" s="26">
        <v>4.66</v>
      </c>
      <c r="P55" s="26">
        <v>4.2300000000000004</v>
      </c>
    </row>
    <row r="56" spans="1:16" ht="20.100000000000001" customHeight="1" x14ac:dyDescent="0.25">
      <c r="A56" s="29" t="s">
        <v>324</v>
      </c>
      <c r="B56" s="30">
        <v>52.87</v>
      </c>
      <c r="C56" s="31">
        <v>-2.4000000000000057</v>
      </c>
      <c r="D56" s="32">
        <v>-4.3423195223448625E-2</v>
      </c>
      <c r="E56" s="35">
        <v>3.4273638081531971E-2</v>
      </c>
      <c r="F56" s="36">
        <v>3048276</v>
      </c>
      <c r="G56" s="36">
        <v>5796120.5300000003</v>
      </c>
      <c r="H56" s="33">
        <v>55.27</v>
      </c>
      <c r="I56" s="33">
        <v>55.27</v>
      </c>
      <c r="J56" s="33">
        <v>52.81</v>
      </c>
      <c r="K56" s="33">
        <v>55.99</v>
      </c>
      <c r="L56" s="33">
        <v>22.74</v>
      </c>
      <c r="M56" s="33">
        <v>96.68</v>
      </c>
      <c r="N56" s="34">
        <v>3.17</v>
      </c>
      <c r="O56" s="34">
        <v>4.16</v>
      </c>
      <c r="P56" s="34">
        <v>4</v>
      </c>
    </row>
    <row r="57" spans="1:16" ht="20.100000000000001" customHeight="1" x14ac:dyDescent="0.25">
      <c r="A57" s="29" t="s">
        <v>325</v>
      </c>
      <c r="B57" s="30">
        <v>387.7</v>
      </c>
      <c r="C57" s="31">
        <v>-24.689999999999998</v>
      </c>
      <c r="D57" s="32">
        <v>-5.9870510924125216E-2</v>
      </c>
      <c r="E57" s="35">
        <v>0.25133136909797515</v>
      </c>
      <c r="F57" s="36">
        <v>2021744.25563</v>
      </c>
      <c r="G57" s="36">
        <v>2708234.63</v>
      </c>
      <c r="H57" s="33">
        <v>412.39</v>
      </c>
      <c r="I57" s="33">
        <v>412.39</v>
      </c>
      <c r="J57" s="33">
        <v>387.28</v>
      </c>
      <c r="K57" s="33">
        <v>420</v>
      </c>
      <c r="L57" s="33">
        <v>84.41</v>
      </c>
      <c r="M57" s="33">
        <v>637.51</v>
      </c>
      <c r="N57" s="34">
        <v>4.82</v>
      </c>
      <c r="O57" s="34">
        <v>3.44</v>
      </c>
      <c r="P57" s="34">
        <v>4</v>
      </c>
    </row>
    <row r="58" spans="1:16" ht="20.100000000000001" customHeight="1" x14ac:dyDescent="0.25">
      <c r="A58" s="29" t="s">
        <v>326</v>
      </c>
      <c r="B58" s="30">
        <v>559.98</v>
      </c>
      <c r="C58" s="31">
        <v>-10.67999999999995</v>
      </c>
      <c r="D58" s="32">
        <v>-1.8715171906213746E-2</v>
      </c>
      <c r="E58" s="35">
        <v>0.36301403164169238</v>
      </c>
      <c r="F58" s="36">
        <v>467433</v>
      </c>
      <c r="G58" s="36">
        <v>750117.58</v>
      </c>
      <c r="H58" s="33">
        <v>570.66</v>
      </c>
      <c r="I58" s="33">
        <v>570.66</v>
      </c>
      <c r="J58" s="33">
        <v>559.66999999999996</v>
      </c>
      <c r="K58" s="33">
        <v>575.29499999999996</v>
      </c>
      <c r="L58" s="33">
        <v>228</v>
      </c>
      <c r="M58" s="33">
        <v>625.98500000000001</v>
      </c>
      <c r="N58" s="34">
        <v>3.44</v>
      </c>
      <c r="O58" s="34">
        <v>3.5</v>
      </c>
      <c r="P58" s="34">
        <v>4.62</v>
      </c>
    </row>
    <row r="59" spans="1:16" ht="20.100000000000001" customHeight="1" x14ac:dyDescent="0.25">
      <c r="A59" s="29" t="s">
        <v>327</v>
      </c>
      <c r="B59" s="30">
        <v>12.57</v>
      </c>
      <c r="C59" s="31">
        <v>-0.49000000000000021</v>
      </c>
      <c r="D59" s="32">
        <v>-3.7519142419601859E-2</v>
      </c>
      <c r="E59" s="35">
        <v>8.1486595552271029E-3</v>
      </c>
      <c r="F59" s="36">
        <v>2077747.066438</v>
      </c>
      <c r="G59" s="36">
        <v>3525634.39</v>
      </c>
      <c r="H59" s="33">
        <v>13.06</v>
      </c>
      <c r="I59" s="33">
        <v>13.06</v>
      </c>
      <c r="J59" s="33">
        <v>12.56</v>
      </c>
      <c r="K59" s="33">
        <v>13.41</v>
      </c>
      <c r="L59" s="33">
        <v>3.36</v>
      </c>
      <c r="M59" s="33">
        <v>18.940000000000001</v>
      </c>
      <c r="N59" s="34">
        <v>2.99</v>
      </c>
      <c r="O59" s="34">
        <v>4</v>
      </c>
      <c r="P59" s="34">
        <v>5</v>
      </c>
    </row>
    <row r="60" spans="1:16" ht="20.100000000000001" customHeight="1" x14ac:dyDescent="0.25">
      <c r="A60" s="29" t="s">
        <v>328</v>
      </c>
      <c r="B60" s="30">
        <v>51.005000000000003</v>
      </c>
      <c r="C60" s="31">
        <v>-5.1499999999999986</v>
      </c>
      <c r="D60" s="32">
        <v>-9.1710444305938874E-2</v>
      </c>
      <c r="E60" s="35">
        <v>3.3064628529384119E-2</v>
      </c>
      <c r="F60" s="36">
        <v>2918177.911938</v>
      </c>
      <c r="G60" s="36">
        <v>1274916.6599999999</v>
      </c>
      <c r="H60" s="33">
        <v>56.155000000000001</v>
      </c>
      <c r="I60" s="33">
        <v>56.155000000000001</v>
      </c>
      <c r="J60" s="33">
        <v>51</v>
      </c>
      <c r="K60" s="33">
        <v>56.85</v>
      </c>
      <c r="L60" s="33">
        <v>24.871700000000001</v>
      </c>
      <c r="M60" s="33">
        <v>86.95</v>
      </c>
      <c r="N60" s="34">
        <v>3.8</v>
      </c>
      <c r="O60" s="34">
        <v>3</v>
      </c>
      <c r="P60" s="34">
        <v>4.66</v>
      </c>
    </row>
    <row r="61" spans="1:16" ht="20.100000000000001" customHeight="1" x14ac:dyDescent="0.25">
      <c r="A61" s="29" t="s">
        <v>329</v>
      </c>
      <c r="B61" s="30">
        <v>121.55</v>
      </c>
      <c r="C61" s="31">
        <v>0.98999999999999488</v>
      </c>
      <c r="D61" s="32">
        <v>8.2116788321167089E-3</v>
      </c>
      <c r="E61" s="35">
        <v>7.8796306200306629E-2</v>
      </c>
      <c r="F61" s="36">
        <v>1352384.308335</v>
      </c>
      <c r="G61" s="36">
        <v>1900378.21</v>
      </c>
      <c r="H61" s="33">
        <v>120.56</v>
      </c>
      <c r="I61" s="33">
        <v>120.56</v>
      </c>
      <c r="J61" s="33">
        <v>120.5</v>
      </c>
      <c r="K61" s="33">
        <v>122.688</v>
      </c>
      <c r="L61" s="33">
        <v>78.2</v>
      </c>
      <c r="M61" s="33">
        <v>132.6</v>
      </c>
      <c r="N61" s="34">
        <v>3.05</v>
      </c>
      <c r="O61" s="34">
        <v>3.5</v>
      </c>
      <c r="P61" s="34">
        <v>3.66</v>
      </c>
    </row>
    <row r="62" spans="1:16" ht="20.100000000000001" customHeight="1" x14ac:dyDescent="0.25">
      <c r="A62" s="29" t="s">
        <v>313</v>
      </c>
      <c r="B62" s="30">
        <v>314.58999999999997</v>
      </c>
      <c r="C62" s="31">
        <v>-3.2400000000000091</v>
      </c>
      <c r="D62" s="32">
        <v>-1.0194128936853009E-2</v>
      </c>
      <c r="E62" s="35">
        <v>0.20393689812879029</v>
      </c>
      <c r="F62" s="36">
        <v>2298384.2921759998</v>
      </c>
      <c r="G62" s="36">
        <v>2386954.13</v>
      </c>
      <c r="H62" s="33">
        <v>317.83</v>
      </c>
      <c r="I62" s="33">
        <v>317.83</v>
      </c>
      <c r="J62" s="33">
        <v>314.47000000000003</v>
      </c>
      <c r="K62" s="33">
        <v>329.37</v>
      </c>
      <c r="L62" s="33">
        <v>173.23</v>
      </c>
      <c r="M62" s="33">
        <v>474.02499999999998</v>
      </c>
      <c r="N62" s="34">
        <v>4.28</v>
      </c>
      <c r="O62" s="34">
        <v>3.81</v>
      </c>
      <c r="P62" s="34">
        <v>4.68</v>
      </c>
    </row>
    <row r="63" spans="1:16" ht="20.100000000000001" customHeight="1" x14ac:dyDescent="0.25">
      <c r="A63" s="29" t="s">
        <v>330</v>
      </c>
      <c r="B63" s="30">
        <v>42.32</v>
      </c>
      <c r="C63" s="31">
        <v>0.60000000000000142</v>
      </c>
      <c r="D63" s="32">
        <v>1.4381591562799612E-2</v>
      </c>
      <c r="E63" s="35">
        <v>2.7434468765092358E-2</v>
      </c>
      <c r="F63" s="36">
        <v>2480004</v>
      </c>
      <c r="G63" s="36">
        <v>2856786.39</v>
      </c>
      <c r="H63" s="33">
        <v>41.72</v>
      </c>
      <c r="I63" s="33">
        <v>41.72</v>
      </c>
      <c r="J63" s="33">
        <v>41.7</v>
      </c>
      <c r="K63" s="33">
        <v>42.375</v>
      </c>
      <c r="L63" s="33">
        <v>33.4</v>
      </c>
      <c r="M63" s="33">
        <v>49.99</v>
      </c>
      <c r="N63" s="34">
        <v>3.04</v>
      </c>
      <c r="O63" s="34">
        <v>4</v>
      </c>
      <c r="P63" s="34">
        <v>4.7</v>
      </c>
    </row>
    <row r="64" spans="1:16" ht="20.100000000000001" customHeight="1" x14ac:dyDescent="0.25">
      <c r="A64" s="37" t="s">
        <v>21</v>
      </c>
      <c r="B64" s="38">
        <v>51.21</v>
      </c>
      <c r="C64" s="39">
        <v>-8.9999999999996305E-2</v>
      </c>
      <c r="D64" s="40">
        <v>-1.7543859649121751E-3</v>
      </c>
      <c r="E64" s="41">
        <v>580</v>
      </c>
      <c r="F64" s="44">
        <v>5515.6500000000015</v>
      </c>
      <c r="G64" s="42">
        <v>0.22804993767093984</v>
      </c>
      <c r="H64" s="43">
        <v>41.700258620689659</v>
      </c>
      <c r="I64" s="44">
        <v>29701.800000000003</v>
      </c>
      <c r="J64" s="44" t="s">
        <v>331</v>
      </c>
      <c r="K64" s="45">
        <v>4.0599999999999996</v>
      </c>
      <c r="L64" s="45">
        <v>4.25</v>
      </c>
      <c r="M64" s="45" t="s">
        <v>22</v>
      </c>
    </row>
    <row r="65" spans="1:13" ht="20.100000000000001" customHeight="1" x14ac:dyDescent="0.25">
      <c r="A65" s="46">
        <v>45779</v>
      </c>
      <c r="B65" s="38">
        <v>51.21</v>
      </c>
      <c r="C65" s="39">
        <v>-8.9999999999996305E-2</v>
      </c>
      <c r="D65" s="40">
        <v>-1.7543859649121751E-3</v>
      </c>
      <c r="E65" s="41">
        <v>115</v>
      </c>
      <c r="F65" s="44">
        <v>1785.95</v>
      </c>
      <c r="G65" s="42">
        <v>0.43525784753363239</v>
      </c>
      <c r="H65" s="43">
        <v>35.68</v>
      </c>
      <c r="I65" s="44">
        <v>5889.1500000000005</v>
      </c>
      <c r="J65" s="44" t="s">
        <v>332</v>
      </c>
      <c r="K65" s="45" t="s">
        <v>104</v>
      </c>
      <c r="L65" s="45" t="s">
        <v>104</v>
      </c>
      <c r="M65" s="45" t="s">
        <v>104</v>
      </c>
    </row>
    <row r="66" spans="1:13" ht="20.100000000000001" customHeight="1" x14ac:dyDescent="0.25">
      <c r="A66" s="46">
        <v>45950</v>
      </c>
      <c r="B66" s="38">
        <v>51.21</v>
      </c>
      <c r="C66" s="39">
        <v>-8.9999999999996305E-2</v>
      </c>
      <c r="D66" s="40">
        <v>-1.7543859649121751E-3</v>
      </c>
      <c r="E66" s="41">
        <v>145</v>
      </c>
      <c r="F66" s="44">
        <v>1313.7000000000003</v>
      </c>
      <c r="G66" s="42">
        <v>0.21494661921708194</v>
      </c>
      <c r="H66" s="43">
        <v>42.15</v>
      </c>
      <c r="I66" s="44">
        <v>7425.45</v>
      </c>
      <c r="J66" s="44" t="s">
        <v>283</v>
      </c>
      <c r="K66" s="45" t="s">
        <v>104</v>
      </c>
      <c r="L66" s="45" t="s">
        <v>104</v>
      </c>
      <c r="M66" s="45" t="s">
        <v>104</v>
      </c>
    </row>
    <row r="67" spans="1:13" ht="20.100000000000001" customHeight="1" x14ac:dyDescent="0.25">
      <c r="A67" s="46">
        <v>45995</v>
      </c>
      <c r="B67" s="38">
        <v>51.21</v>
      </c>
      <c r="C67" s="39">
        <v>-8.9999999999996305E-2</v>
      </c>
      <c r="D67" s="40">
        <v>-1.7543859649121751E-3</v>
      </c>
      <c r="E67" s="41">
        <v>320</v>
      </c>
      <c r="F67" s="44">
        <v>2416.0000000000014</v>
      </c>
      <c r="G67" s="42">
        <v>0.17292716445258827</v>
      </c>
      <c r="H67" s="43">
        <v>43.66</v>
      </c>
      <c r="I67" s="44">
        <v>16387.2</v>
      </c>
      <c r="J67" s="44" t="s">
        <v>333</v>
      </c>
      <c r="K67" s="45" t="s">
        <v>104</v>
      </c>
      <c r="L67" s="45" t="s">
        <v>104</v>
      </c>
      <c r="M67" s="45" t="s">
        <v>104</v>
      </c>
    </row>
    <row r="68" spans="1:13" ht="20.100000000000001" customHeight="1" x14ac:dyDescent="0.25">
      <c r="A68" s="37" t="s">
        <v>317</v>
      </c>
      <c r="B68" s="38">
        <v>162.88</v>
      </c>
      <c r="C68" s="39">
        <v>-0.84000000000000341</v>
      </c>
      <c r="D68" s="40">
        <v>-5.1307109699486597E-3</v>
      </c>
      <c r="E68" s="41">
        <v>88</v>
      </c>
      <c r="F68" s="44">
        <v>4174.3999999999996</v>
      </c>
      <c r="G68" s="42">
        <v>0.4109049673984943</v>
      </c>
      <c r="H68" s="43">
        <v>115.44363636363637</v>
      </c>
      <c r="I68" s="44">
        <v>14333.439999999999</v>
      </c>
      <c r="J68" s="44" t="s">
        <v>334</v>
      </c>
      <c r="K68" s="45">
        <v>4.45</v>
      </c>
      <c r="L68" s="45">
        <v>5</v>
      </c>
      <c r="M68" s="45" t="s">
        <v>22</v>
      </c>
    </row>
  </sheetData>
  <conditionalFormatting sqref="B2:B26">
    <cfRule type="cellIs" dxfId="799" priority="63" operator="between">
      <formula>-9995</formula>
      <formula>9995</formula>
    </cfRule>
    <cfRule type="cellIs" dxfId="798" priority="64" operator="greaterThan">
      <formula>999999950000</formula>
    </cfRule>
    <cfRule type="cellIs" dxfId="797" priority="65" operator="greaterThan">
      <formula>999995000</formula>
    </cfRule>
    <cfRule type="cellIs" dxfId="796" priority="66" operator="greaterThan">
      <formula>999500</formula>
    </cfRule>
    <cfRule type="cellIs" dxfId="795" priority="67" operator="greaterThan">
      <formula>9995</formula>
    </cfRule>
    <cfRule type="cellIs" dxfId="794" priority="68" operator="lessThan">
      <formula>-999999950000</formula>
    </cfRule>
    <cfRule type="cellIs" dxfId="793" priority="69" operator="lessThan">
      <formula>-999995000</formula>
    </cfRule>
    <cfRule type="cellIs" dxfId="792" priority="70" operator="lessThan">
      <formula>-999500</formula>
    </cfRule>
    <cfRule type="cellIs" dxfId="791" priority="71" operator="lessThan">
      <formula>-9995</formula>
    </cfRule>
  </conditionalFormatting>
  <conditionalFormatting sqref="C2:C26">
    <cfRule type="cellIs" dxfId="790" priority="72" operator="greaterThan">
      <formula>0</formula>
    </cfRule>
    <cfRule type="cellIs" dxfId="789" priority="73" operator="lessThan">
      <formula>0</formula>
    </cfRule>
  </conditionalFormatting>
  <conditionalFormatting sqref="D2:D26">
    <cfRule type="cellIs" dxfId="788" priority="74" operator="greaterThan">
      <formula>0</formula>
    </cfRule>
    <cfRule type="cellIs" dxfId="787" priority="75" operator="lessThan">
      <formula>0</formula>
    </cfRule>
  </conditionalFormatting>
  <conditionalFormatting sqref="F2:F26">
    <cfRule type="cellIs" dxfId="786" priority="76" operator="between">
      <formula>-9995</formula>
      <formula>9995</formula>
    </cfRule>
    <cfRule type="cellIs" dxfId="785" priority="77" operator="greaterThan">
      <formula>999999950000</formula>
    </cfRule>
    <cfRule type="cellIs" dxfId="784" priority="78" operator="greaterThan">
      <formula>999995000</formula>
    </cfRule>
    <cfRule type="cellIs" dxfId="783" priority="79" operator="greaterThan">
      <formula>999500</formula>
    </cfRule>
    <cfRule type="cellIs" dxfId="782" priority="80" operator="greaterThan">
      <formula>9995</formula>
    </cfRule>
    <cfRule type="cellIs" dxfId="781" priority="81" operator="lessThan">
      <formula>-999999950000</formula>
    </cfRule>
    <cfRule type="cellIs" dxfId="780" priority="82" operator="lessThan">
      <formula>-999995000</formula>
    </cfRule>
    <cfRule type="cellIs" dxfId="779" priority="83" operator="lessThan">
      <formula>-999500</formula>
    </cfRule>
    <cfRule type="cellIs" dxfId="778" priority="84" operator="lessThan">
      <formula>-9995</formula>
    </cfRule>
  </conditionalFormatting>
  <conditionalFormatting sqref="G2:G26">
    <cfRule type="cellIs" dxfId="777" priority="85" operator="between">
      <formula>-9995</formula>
      <formula>9995</formula>
    </cfRule>
    <cfRule type="cellIs" dxfId="776" priority="86" operator="greaterThan">
      <formula>999999950000</formula>
    </cfRule>
    <cfRule type="cellIs" dxfId="775" priority="87" operator="greaterThan">
      <formula>999995000</formula>
    </cfRule>
    <cfRule type="cellIs" dxfId="774" priority="88" operator="greaterThan">
      <formula>999500</formula>
    </cfRule>
    <cfRule type="cellIs" dxfId="773" priority="89" operator="greaterThan">
      <formula>9995</formula>
    </cfRule>
    <cfRule type="cellIs" dxfId="772" priority="90" operator="lessThan">
      <formula>-999999950000</formula>
    </cfRule>
    <cfRule type="cellIs" dxfId="771" priority="91" operator="lessThan">
      <formula>-999995000</formula>
    </cfRule>
    <cfRule type="cellIs" dxfId="770" priority="92" operator="lessThan">
      <formula>-999500</formula>
    </cfRule>
    <cfRule type="cellIs" dxfId="769" priority="93" operator="lessThan">
      <formula>-9995</formula>
    </cfRule>
  </conditionalFormatting>
  <conditionalFormatting sqref="N2:N26">
    <cfRule type="cellIs" dxfId="768" priority="94" operator="between">
      <formula>4.5</formula>
      <formula>5</formula>
    </cfRule>
    <cfRule type="cellIs" dxfId="767" priority="95" operator="between">
      <formula>3.5</formula>
      <formula>4.5</formula>
    </cfRule>
    <cfRule type="cellIs" dxfId="766" priority="96" operator="between">
      <formula>2.5</formula>
      <formula>3.5</formula>
    </cfRule>
    <cfRule type="cellIs" dxfId="765" priority="97" operator="between">
      <formula>1.5</formula>
      <formula>2.5</formula>
    </cfRule>
    <cfRule type="cellIs" dxfId="764" priority="98" operator="between">
      <formula>1</formula>
      <formula>1.5</formula>
    </cfRule>
    <cfRule type="notContainsBlanks" dxfId="763" priority="99">
      <formula>LEN(TRIM(N2))&gt;0</formula>
    </cfRule>
  </conditionalFormatting>
  <conditionalFormatting sqref="O2:O26">
    <cfRule type="cellIs" dxfId="762" priority="100" operator="between">
      <formula>4.5</formula>
      <formula>5</formula>
    </cfRule>
    <cfRule type="cellIs" dxfId="761" priority="101" operator="between">
      <formula>3.5</formula>
      <formula>4.5</formula>
    </cfRule>
    <cfRule type="cellIs" dxfId="760" priority="102" operator="between">
      <formula>2.5</formula>
      <formula>3.5</formula>
    </cfRule>
    <cfRule type="cellIs" dxfId="759" priority="103" operator="between">
      <formula>1.5</formula>
      <formula>2.5</formula>
    </cfRule>
    <cfRule type="cellIs" dxfId="758" priority="104" operator="between">
      <formula>1</formula>
      <formula>1.5</formula>
    </cfRule>
    <cfRule type="notContainsBlanks" dxfId="757" priority="105">
      <formula>LEN(TRIM(O2))&gt;0</formula>
    </cfRule>
  </conditionalFormatting>
  <conditionalFormatting sqref="P2:P26">
    <cfRule type="cellIs" dxfId="756" priority="106" operator="between">
      <formula>4.5</formula>
      <formula>5</formula>
    </cfRule>
    <cfRule type="cellIs" dxfId="755" priority="107" operator="between">
      <formula>3.5</formula>
      <formula>4.5</formula>
    </cfRule>
    <cfRule type="cellIs" dxfId="754" priority="108" operator="between">
      <formula>2.5</formula>
      <formula>3.5</formula>
    </cfRule>
    <cfRule type="cellIs" dxfId="753" priority="109" operator="between">
      <formula>1.5</formula>
      <formula>2.5</formula>
    </cfRule>
    <cfRule type="cellIs" dxfId="752" priority="110" operator="between">
      <formula>1</formula>
      <formula>1.5</formula>
    </cfRule>
    <cfRule type="notContainsBlanks" dxfId="751" priority="111">
      <formula>LEN(TRIM(P2))&gt;0</formula>
    </cfRule>
  </conditionalFormatting>
  <conditionalFormatting sqref="B27:B29">
    <cfRule type="cellIs" dxfId="61" priority="14" operator="between">
      <formula>-9995</formula>
      <formula>9995</formula>
    </cfRule>
    <cfRule type="cellIs" dxfId="60" priority="15" operator="greaterThan">
      <formula>999999950000</formula>
    </cfRule>
    <cfRule type="cellIs" dxfId="59" priority="16" operator="greaterThan">
      <formula>999995000</formula>
    </cfRule>
    <cfRule type="cellIs" dxfId="58" priority="17" operator="greaterThan">
      <formula>999500</formula>
    </cfRule>
    <cfRule type="cellIs" dxfId="57" priority="18" operator="greaterThan">
      <formula>9995</formula>
    </cfRule>
    <cfRule type="cellIs" dxfId="56" priority="19" operator="lessThan">
      <formula>-999999950000</formula>
    </cfRule>
    <cfRule type="cellIs" dxfId="55" priority="20" operator="lessThan">
      <formula>-999995000</formula>
    </cfRule>
    <cfRule type="cellIs" dxfId="54" priority="21" operator="lessThan">
      <formula>-999500</formula>
    </cfRule>
    <cfRule type="cellIs" dxfId="53" priority="22" operator="lessThan">
      <formula>-9995</formula>
    </cfRule>
  </conditionalFormatting>
  <conditionalFormatting sqref="C27:C29">
    <cfRule type="cellIs" dxfId="52" priority="23" operator="greaterThan">
      <formula>0</formula>
    </cfRule>
    <cfRule type="cellIs" dxfId="51" priority="24" operator="lessThan">
      <formula>0</formula>
    </cfRule>
  </conditionalFormatting>
  <conditionalFormatting sqref="D27:D29">
    <cfRule type="cellIs" dxfId="50" priority="25" operator="greaterThan">
      <formula>0</formula>
    </cfRule>
    <cfRule type="cellIs" dxfId="49" priority="26" operator="lessThan">
      <formula>0</formula>
    </cfRule>
  </conditionalFormatting>
  <conditionalFormatting sqref="F27:F29">
    <cfRule type="cellIs" dxfId="48" priority="27" operator="between">
      <formula>-9995</formula>
      <formula>9995</formula>
    </cfRule>
    <cfRule type="cellIs" dxfId="47" priority="28" operator="greaterThan">
      <formula>999999950000</formula>
    </cfRule>
    <cfRule type="cellIs" dxfId="46" priority="29" operator="greaterThan">
      <formula>999995000</formula>
    </cfRule>
    <cfRule type="cellIs" dxfId="45" priority="30" operator="greaterThan">
      <formula>999500</formula>
    </cfRule>
    <cfRule type="cellIs" dxfId="44" priority="31" operator="greaterThan">
      <formula>9995</formula>
    </cfRule>
    <cfRule type="cellIs" dxfId="43" priority="32" operator="lessThan">
      <formula>-999999950000</formula>
    </cfRule>
    <cfRule type="cellIs" dxfId="42" priority="33" operator="lessThan">
      <formula>-999995000</formula>
    </cfRule>
    <cfRule type="cellIs" dxfId="41" priority="34" operator="lessThan">
      <formula>-999500</formula>
    </cfRule>
    <cfRule type="cellIs" dxfId="40" priority="35" operator="lessThan">
      <formula>-9995</formula>
    </cfRule>
  </conditionalFormatting>
  <conditionalFormatting sqref="G27:G29">
    <cfRule type="cellIs" dxfId="39" priority="36" operator="between">
      <formula>-9995</formula>
      <formula>9995</formula>
    </cfRule>
    <cfRule type="cellIs" dxfId="38" priority="37" operator="greaterThan">
      <formula>999999950000</formula>
    </cfRule>
    <cfRule type="cellIs" dxfId="37" priority="38" operator="greaterThan">
      <formula>999995000</formula>
    </cfRule>
    <cfRule type="cellIs" dxfId="36" priority="39" operator="greaterThan">
      <formula>999500</formula>
    </cfRule>
    <cfRule type="cellIs" dxfId="35" priority="40" operator="greaterThan">
      <formula>9995</formula>
    </cfRule>
    <cfRule type="cellIs" dxfId="34" priority="41" operator="lessThan">
      <formula>-999999950000</formula>
    </cfRule>
    <cfRule type="cellIs" dxfId="33" priority="42" operator="lessThan">
      <formula>-999995000</formula>
    </cfRule>
    <cfRule type="cellIs" dxfId="32" priority="43" operator="lessThan">
      <formula>-999500</formula>
    </cfRule>
    <cfRule type="cellIs" dxfId="31" priority="44" operator="lessThan">
      <formula>-9995</formula>
    </cfRule>
  </conditionalFormatting>
  <conditionalFormatting sqref="N27:N29">
    <cfRule type="cellIs" dxfId="30" priority="45" operator="between">
      <formula>4.5</formula>
      <formula>5</formula>
    </cfRule>
    <cfRule type="cellIs" dxfId="29" priority="46" operator="between">
      <formula>3.5</formula>
      <formula>4.5</formula>
    </cfRule>
    <cfRule type="cellIs" dxfId="28" priority="47" operator="between">
      <formula>2.5</formula>
      <formula>3.5</formula>
    </cfRule>
    <cfRule type="cellIs" dxfId="27" priority="48" operator="between">
      <formula>1.5</formula>
      <formula>2.5</formula>
    </cfRule>
    <cfRule type="cellIs" dxfId="26" priority="49" operator="between">
      <formula>1</formula>
      <formula>1.5</formula>
    </cfRule>
    <cfRule type="notContainsBlanks" dxfId="25" priority="50">
      <formula>LEN(TRIM(N27))&gt;0</formula>
    </cfRule>
  </conditionalFormatting>
  <conditionalFormatting sqref="O27:O29">
    <cfRule type="cellIs" dxfId="24" priority="51" operator="between">
      <formula>4.5</formula>
      <formula>5</formula>
    </cfRule>
    <cfRule type="cellIs" dxfId="23" priority="52" operator="between">
      <formula>3.5</formula>
      <formula>4.5</formula>
    </cfRule>
    <cfRule type="cellIs" dxfId="22" priority="53" operator="between">
      <formula>2.5</formula>
      <formula>3.5</formula>
    </cfRule>
    <cfRule type="cellIs" dxfId="21" priority="54" operator="between">
      <formula>1.5</formula>
      <formula>2.5</formula>
    </cfRule>
    <cfRule type="cellIs" dxfId="20" priority="55" operator="between">
      <formula>1</formula>
      <formula>1.5</formula>
    </cfRule>
    <cfRule type="notContainsBlanks" dxfId="19" priority="56">
      <formula>LEN(TRIM(O27))&gt;0</formula>
    </cfRule>
  </conditionalFormatting>
  <conditionalFormatting sqref="P27:P29">
    <cfRule type="cellIs" dxfId="18" priority="57" operator="between">
      <formula>4.5</formula>
      <formula>5</formula>
    </cfRule>
    <cfRule type="cellIs" dxfId="17" priority="58" operator="between">
      <formula>3.5</formula>
      <formula>4.5</formula>
    </cfRule>
    <cfRule type="cellIs" dxfId="16" priority="59" operator="between">
      <formula>2.5</formula>
      <formula>3.5</formula>
    </cfRule>
    <cfRule type="cellIs" dxfId="15" priority="60" operator="between">
      <formula>1.5</formula>
      <formula>2.5</formula>
    </cfRule>
    <cfRule type="cellIs" dxfId="14" priority="61" operator="between">
      <formula>1</formula>
      <formula>1.5</formula>
    </cfRule>
    <cfRule type="notContainsBlanks" dxfId="13" priority="62">
      <formula>LEN(TRIM(P27))&gt;0</formula>
    </cfRule>
  </conditionalFormatting>
  <conditionalFormatting sqref="B30:B34">
    <cfRule type="cellIs" dxfId="12" priority="1" operator="between">
      <formula>-9995</formula>
      <formula>9995</formula>
    </cfRule>
    <cfRule type="cellIs" dxfId="11" priority="2" operator="greaterThan">
      <formula>999999950000</formula>
    </cfRule>
    <cfRule type="cellIs" dxfId="10" priority="3" operator="greaterThan">
      <formula>999995000</formula>
    </cfRule>
    <cfRule type="cellIs" dxfId="9" priority="4" operator="greaterThan">
      <formula>999500</formula>
    </cfRule>
    <cfRule type="cellIs" dxfId="8" priority="5" operator="greaterThan">
      <formula>9995</formula>
    </cfRule>
    <cfRule type="cellIs" dxfId="7" priority="6" operator="lessThan">
      <formula>-999999950000</formula>
    </cfRule>
    <cfRule type="cellIs" dxfId="6" priority="7" operator="lessThan">
      <formula>-999995000</formula>
    </cfRule>
    <cfRule type="cellIs" dxfId="5" priority="8" operator="lessThan">
      <formula>-999500</formula>
    </cfRule>
    <cfRule type="cellIs" dxfId="4" priority="9" operator="lessThan">
      <formula>-9995</formula>
    </cfRule>
  </conditionalFormatting>
  <conditionalFormatting sqref="C30:C34">
    <cfRule type="cellIs" dxfId="3" priority="10" operator="greaterThan">
      <formula>0</formula>
    </cfRule>
    <cfRule type="cellIs" dxfId="2" priority="11" operator="lessThan">
      <formula>0</formula>
    </cfRule>
  </conditionalFormatting>
  <conditionalFormatting sqref="D30:D34">
    <cfRule type="cellIs" dxfId="1" priority="12" operator="greaterThan">
      <formula>0</formula>
    </cfRule>
    <cfRule type="cellIs" dxfId="0" priority="13" operator="lessThan">
      <formula>0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/>
  </sheetViews>
  <sheetFormatPr defaultColWidth="15" defaultRowHeight="20.100000000000001" customHeight="1" x14ac:dyDescent="0.25"/>
  <cols>
    <col min="1" max="1" width="20" style="1" customWidth="1"/>
    <col min="2" max="14" width="15" style="6" customWidth="1"/>
  </cols>
  <sheetData>
    <row r="1" spans="1:14" s="7" customFormat="1" ht="20.100000000000001" customHeight="1" x14ac:dyDescent="0.2">
      <c r="A1" s="8" t="s">
        <v>0</v>
      </c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51</v>
      </c>
      <c r="L1" s="13" t="s">
        <v>52</v>
      </c>
      <c r="M1" s="13" t="s">
        <v>53</v>
      </c>
      <c r="N1" s="13" t="s">
        <v>54</v>
      </c>
    </row>
    <row r="2" spans="1:14" x14ac:dyDescent="0.25">
      <c r="A2" s="1" t="s">
        <v>16</v>
      </c>
      <c r="B2" s="6">
        <v>2.8</v>
      </c>
      <c r="C2" s="6">
        <v>3.75</v>
      </c>
      <c r="D2" s="6">
        <v>4.2699999999999996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22</v>
      </c>
      <c r="K2" s="6" t="s">
        <v>22</v>
      </c>
      <c r="L2" s="6" t="s">
        <v>22</v>
      </c>
      <c r="M2" s="6" t="s">
        <v>22</v>
      </c>
      <c r="N2" s="6" t="s">
        <v>22</v>
      </c>
    </row>
    <row r="3" spans="1:14" x14ac:dyDescent="0.25">
      <c r="A3" s="1" t="s">
        <v>17</v>
      </c>
      <c r="B3" s="6">
        <v>4.88</v>
      </c>
      <c r="C3" s="6">
        <v>3.75</v>
      </c>
      <c r="D3" s="6">
        <v>4.7300000000000004</v>
      </c>
      <c r="E3" s="6" t="s">
        <v>60</v>
      </c>
      <c r="F3" s="6" t="s">
        <v>19</v>
      </c>
      <c r="G3" s="6" t="s">
        <v>57</v>
      </c>
      <c r="H3" s="6" t="s">
        <v>61</v>
      </c>
      <c r="I3" s="6" t="s">
        <v>57</v>
      </c>
      <c r="J3" s="6" t="s">
        <v>22</v>
      </c>
      <c r="K3" s="6" t="s">
        <v>22</v>
      </c>
      <c r="L3" s="6" t="s">
        <v>22</v>
      </c>
      <c r="M3" s="6" t="s">
        <v>22</v>
      </c>
      <c r="N3" s="6" t="s">
        <v>22</v>
      </c>
    </row>
    <row r="4" spans="1:14" x14ac:dyDescent="0.25">
      <c r="A4" s="1" t="s">
        <v>18</v>
      </c>
      <c r="B4" s="6">
        <v>3.47</v>
      </c>
      <c r="C4" s="6">
        <v>3.76</v>
      </c>
      <c r="D4" s="6">
        <v>4.6100000000000003</v>
      </c>
      <c r="E4" s="6" t="s">
        <v>62</v>
      </c>
      <c r="F4" s="6" t="s">
        <v>61</v>
      </c>
      <c r="G4" s="6" t="s">
        <v>57</v>
      </c>
      <c r="H4" s="6" t="s">
        <v>63</v>
      </c>
      <c r="I4" s="6" t="s">
        <v>19</v>
      </c>
      <c r="J4" s="6" t="s">
        <v>22</v>
      </c>
      <c r="K4" s="6" t="s">
        <v>22</v>
      </c>
      <c r="L4" s="6" t="s">
        <v>22</v>
      </c>
      <c r="M4" s="6" t="s">
        <v>22</v>
      </c>
      <c r="N4" s="6" t="s">
        <v>22</v>
      </c>
    </row>
    <row r="5" spans="1:14" x14ac:dyDescent="0.25">
      <c r="A5" s="1" t="s">
        <v>19</v>
      </c>
      <c r="B5" s="6">
        <v>3.77</v>
      </c>
      <c r="C5" s="6">
        <v>3.62</v>
      </c>
      <c r="D5" s="6">
        <v>4.25</v>
      </c>
      <c r="E5" s="6" t="s">
        <v>19</v>
      </c>
      <c r="F5" s="6" t="s">
        <v>63</v>
      </c>
      <c r="G5" s="6" t="s">
        <v>57</v>
      </c>
      <c r="H5" s="6" t="s">
        <v>61</v>
      </c>
      <c r="I5" s="6" t="s">
        <v>64</v>
      </c>
      <c r="J5" s="6" t="s">
        <v>22</v>
      </c>
      <c r="K5" s="6" t="s">
        <v>22</v>
      </c>
      <c r="L5" s="6" t="s">
        <v>22</v>
      </c>
      <c r="M5" s="6" t="s">
        <v>22</v>
      </c>
      <c r="N5" s="6" t="s">
        <v>22</v>
      </c>
    </row>
    <row r="6" spans="1:14" x14ac:dyDescent="0.25">
      <c r="A6" s="1" t="s">
        <v>20</v>
      </c>
      <c r="B6" s="6">
        <v>3.06</v>
      </c>
      <c r="C6" s="6">
        <v>3.57</v>
      </c>
      <c r="D6" s="6">
        <v>4.57</v>
      </c>
      <c r="E6" s="6" t="s">
        <v>61</v>
      </c>
      <c r="F6" s="6" t="s">
        <v>59</v>
      </c>
      <c r="G6" s="6" t="s">
        <v>57</v>
      </c>
      <c r="H6" s="6" t="s">
        <v>65</v>
      </c>
      <c r="I6" s="6" t="s">
        <v>58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</row>
    <row r="7" spans="1:14" x14ac:dyDescent="0.25">
      <c r="A7" s="1" t="s">
        <v>21</v>
      </c>
      <c r="B7" s="6">
        <v>4.0599999999999996</v>
      </c>
      <c r="C7" s="6">
        <v>4.25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66</v>
      </c>
      <c r="K7" s="6" t="s">
        <v>19</v>
      </c>
      <c r="L7" s="6" t="s">
        <v>65</v>
      </c>
      <c r="M7" s="6" t="s">
        <v>61</v>
      </c>
      <c r="N7" s="6" t="s">
        <v>57</v>
      </c>
    </row>
    <row r="8" spans="1:14" x14ac:dyDescent="0.25">
      <c r="A8" s="1" t="s">
        <v>23</v>
      </c>
      <c r="B8" s="6">
        <v>4.3899999999999997</v>
      </c>
      <c r="C8" s="6">
        <v>4</v>
      </c>
      <c r="D8" s="6">
        <v>4.05</v>
      </c>
      <c r="E8" s="6" t="s">
        <v>63</v>
      </c>
      <c r="F8" s="6" t="s">
        <v>63</v>
      </c>
      <c r="G8" s="6" t="s">
        <v>61</v>
      </c>
      <c r="H8" s="6" t="s">
        <v>66</v>
      </c>
      <c r="I8" s="6" t="s">
        <v>19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</row>
    <row r="9" spans="1:14" x14ac:dyDescent="0.25">
      <c r="A9" s="1" t="s">
        <v>24</v>
      </c>
      <c r="B9" s="6">
        <v>2.68</v>
      </c>
      <c r="C9" s="6">
        <v>3.5</v>
      </c>
      <c r="D9" s="6">
        <v>4.6100000000000003</v>
      </c>
      <c r="E9" s="6" t="s">
        <v>59</v>
      </c>
      <c r="F9" s="6" t="s">
        <v>19</v>
      </c>
      <c r="G9" s="6" t="s">
        <v>55</v>
      </c>
      <c r="H9" s="6" t="s">
        <v>59</v>
      </c>
      <c r="I9" s="6" t="s">
        <v>56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</row>
    <row r="10" spans="1:14" x14ac:dyDescent="0.25">
      <c r="A10" s="1" t="s">
        <v>25</v>
      </c>
      <c r="B10" s="6">
        <v>1.7</v>
      </c>
      <c r="C10" s="6">
        <v>4</v>
      </c>
      <c r="D10" s="6">
        <v>4.3600000000000003</v>
      </c>
      <c r="E10" s="6" t="s">
        <v>60</v>
      </c>
      <c r="F10" s="6" t="s">
        <v>66</v>
      </c>
      <c r="G10" s="6" t="s">
        <v>60</v>
      </c>
      <c r="H10" s="6" t="s">
        <v>60</v>
      </c>
      <c r="I10" s="6" t="s">
        <v>56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</row>
    <row r="11" spans="1:14" x14ac:dyDescent="0.25">
      <c r="A11" s="1" t="s">
        <v>26</v>
      </c>
      <c r="B11" s="6">
        <v>2.83</v>
      </c>
      <c r="C11" s="6">
        <v>4</v>
      </c>
      <c r="D11" s="6">
        <v>4.57</v>
      </c>
      <c r="E11" s="6" t="s">
        <v>60</v>
      </c>
      <c r="F11" s="6" t="s">
        <v>61</v>
      </c>
      <c r="G11" s="6" t="s">
        <v>60</v>
      </c>
      <c r="H11" s="6" t="s">
        <v>56</v>
      </c>
      <c r="I11" s="6" t="s">
        <v>65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</row>
    <row r="12" spans="1:14" x14ac:dyDescent="0.25">
      <c r="A12" s="1" t="s">
        <v>27</v>
      </c>
      <c r="B12" s="6">
        <v>3.27</v>
      </c>
      <c r="C12" s="6">
        <v>3.8</v>
      </c>
      <c r="D12" s="6">
        <v>4.3499999999999996</v>
      </c>
      <c r="E12" s="6" t="s">
        <v>59</v>
      </c>
      <c r="F12" s="6" t="s">
        <v>19</v>
      </c>
      <c r="G12" s="6" t="s">
        <v>63</v>
      </c>
      <c r="H12" s="6" t="s">
        <v>56</v>
      </c>
      <c r="I12" s="6" t="s">
        <v>57</v>
      </c>
      <c r="J12" s="6" t="s">
        <v>22</v>
      </c>
      <c r="K12" s="6" t="s">
        <v>22</v>
      </c>
      <c r="L12" s="6" t="s">
        <v>22</v>
      </c>
      <c r="M12" s="6" t="s">
        <v>22</v>
      </c>
      <c r="N12" s="6" t="s">
        <v>22</v>
      </c>
    </row>
    <row r="13" spans="1:14" x14ac:dyDescent="0.25">
      <c r="A13" s="1" t="s">
        <v>28</v>
      </c>
      <c r="B13" s="6">
        <v>4.62</v>
      </c>
      <c r="C13" s="6">
        <v>4.1100000000000003</v>
      </c>
      <c r="D13" s="6">
        <v>3.47</v>
      </c>
      <c r="E13" s="6" t="s">
        <v>64</v>
      </c>
      <c r="F13" s="6" t="s">
        <v>58</v>
      </c>
      <c r="G13" s="6" t="s">
        <v>57</v>
      </c>
      <c r="H13" s="6" t="s">
        <v>19</v>
      </c>
      <c r="I13" s="6" t="s">
        <v>61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</row>
    <row r="14" spans="1:14" x14ac:dyDescent="0.25">
      <c r="A14" s="1" t="s">
        <v>29</v>
      </c>
      <c r="B14" s="6" t="s">
        <v>22</v>
      </c>
      <c r="C14" s="6">
        <v>4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</row>
    <row r="15" spans="1:14" x14ac:dyDescent="0.25">
      <c r="A15" s="1" t="s">
        <v>30</v>
      </c>
      <c r="B15" s="6">
        <v>3.6</v>
      </c>
      <c r="C15" s="6">
        <v>4</v>
      </c>
      <c r="D15" s="6">
        <v>4.55</v>
      </c>
      <c r="E15" s="6" t="s">
        <v>65</v>
      </c>
      <c r="F15" s="6" t="s">
        <v>66</v>
      </c>
      <c r="G15" s="6" t="s">
        <v>66</v>
      </c>
      <c r="H15" s="6" t="s">
        <v>65</v>
      </c>
      <c r="I15" s="6" t="s">
        <v>59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</row>
    <row r="16" spans="1:14" x14ac:dyDescent="0.25">
      <c r="A16" s="1" t="s">
        <v>31</v>
      </c>
      <c r="B16" s="6">
        <v>3.06</v>
      </c>
      <c r="C16" s="6">
        <v>3.91</v>
      </c>
      <c r="D16" s="6">
        <v>4.43</v>
      </c>
      <c r="E16" s="6" t="s">
        <v>59</v>
      </c>
      <c r="F16" s="6" t="s">
        <v>58</v>
      </c>
      <c r="G16" s="6" t="s">
        <v>57</v>
      </c>
      <c r="H16" s="6" t="s">
        <v>19</v>
      </c>
      <c r="I16" s="6" t="s">
        <v>59</v>
      </c>
      <c r="J16" s="6" t="s">
        <v>22</v>
      </c>
      <c r="K16" s="6" t="s">
        <v>22</v>
      </c>
      <c r="L16" s="6" t="s">
        <v>22</v>
      </c>
      <c r="M16" s="6" t="s">
        <v>22</v>
      </c>
      <c r="N16" s="6" t="s">
        <v>22</v>
      </c>
    </row>
    <row r="17" spans="1:14" x14ac:dyDescent="0.25">
      <c r="A17" s="1" t="s">
        <v>32</v>
      </c>
      <c r="B17" s="6">
        <v>3.3</v>
      </c>
      <c r="C17" s="6">
        <v>3.66</v>
      </c>
      <c r="D17" s="6">
        <v>4.04</v>
      </c>
      <c r="E17" s="6" t="s">
        <v>56</v>
      </c>
      <c r="F17" s="6" t="s">
        <v>55</v>
      </c>
      <c r="G17" s="6" t="s">
        <v>66</v>
      </c>
      <c r="H17" s="6" t="s">
        <v>59</v>
      </c>
      <c r="I17" s="6" t="s">
        <v>63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</row>
    <row r="18" spans="1:14" x14ac:dyDescent="0.25">
      <c r="A18" s="1" t="s">
        <v>33</v>
      </c>
      <c r="B18" s="6">
        <v>4.82</v>
      </c>
      <c r="C18" s="6">
        <v>3.9</v>
      </c>
      <c r="D18" s="6">
        <v>4.75</v>
      </c>
      <c r="E18" s="6" t="s">
        <v>65</v>
      </c>
      <c r="F18" s="6" t="s">
        <v>57</v>
      </c>
      <c r="G18" s="6" t="s">
        <v>60</v>
      </c>
      <c r="H18" s="6" t="s">
        <v>61</v>
      </c>
      <c r="I18" s="6" t="s">
        <v>61</v>
      </c>
      <c r="J18" s="6" t="s">
        <v>22</v>
      </c>
      <c r="K18" s="6" t="s">
        <v>22</v>
      </c>
      <c r="L18" s="6" t="s">
        <v>22</v>
      </c>
      <c r="M18" s="6" t="s">
        <v>22</v>
      </c>
      <c r="N18" s="6" t="s">
        <v>22</v>
      </c>
    </row>
    <row r="19" spans="1:14" x14ac:dyDescent="0.25">
      <c r="A19" s="1" t="s">
        <v>34</v>
      </c>
      <c r="B19" s="6">
        <v>3.18</v>
      </c>
      <c r="C19" s="6">
        <v>3.57</v>
      </c>
      <c r="D19" s="6">
        <v>4.45</v>
      </c>
      <c r="E19" s="6" t="s">
        <v>58</v>
      </c>
      <c r="F19" s="6" t="s">
        <v>61</v>
      </c>
      <c r="G19" s="6" t="s">
        <v>57</v>
      </c>
      <c r="H19" s="6" t="s">
        <v>55</v>
      </c>
      <c r="I19" s="6" t="s">
        <v>58</v>
      </c>
      <c r="J19" s="6" t="s">
        <v>22</v>
      </c>
      <c r="K19" s="6" t="s">
        <v>22</v>
      </c>
      <c r="L19" s="6" t="s">
        <v>22</v>
      </c>
      <c r="M19" s="6" t="s">
        <v>22</v>
      </c>
      <c r="N19" s="6" t="s">
        <v>22</v>
      </c>
    </row>
    <row r="20" spans="1:14" x14ac:dyDescent="0.25">
      <c r="A20" s="1" t="s">
        <v>35</v>
      </c>
      <c r="B20" s="6">
        <v>2.78</v>
      </c>
      <c r="C20" s="6">
        <v>4</v>
      </c>
      <c r="D20" s="6">
        <v>4.22</v>
      </c>
      <c r="E20" s="6" t="s">
        <v>55</v>
      </c>
      <c r="F20" s="6" t="s">
        <v>61</v>
      </c>
      <c r="G20" s="6" t="s">
        <v>57</v>
      </c>
      <c r="H20" s="6" t="s">
        <v>65</v>
      </c>
      <c r="I20" s="6" t="s">
        <v>59</v>
      </c>
      <c r="J20" s="6" t="s">
        <v>22</v>
      </c>
      <c r="K20" s="6" t="s">
        <v>22</v>
      </c>
      <c r="L20" s="6" t="s">
        <v>22</v>
      </c>
      <c r="M20" s="6" t="s">
        <v>22</v>
      </c>
      <c r="N20" s="6" t="s">
        <v>22</v>
      </c>
    </row>
    <row r="21" spans="1:14" x14ac:dyDescent="0.25">
      <c r="A21" s="1" t="s">
        <v>36</v>
      </c>
      <c r="B21" s="6">
        <v>3.11</v>
      </c>
      <c r="C21" s="6">
        <v>3.22</v>
      </c>
      <c r="D21" s="6">
        <v>4.25</v>
      </c>
      <c r="E21" s="6" t="s">
        <v>55</v>
      </c>
      <c r="F21" s="6" t="s">
        <v>58</v>
      </c>
      <c r="G21" s="6" t="s">
        <v>57</v>
      </c>
      <c r="H21" s="6" t="s">
        <v>61</v>
      </c>
      <c r="I21" s="6" t="s">
        <v>59</v>
      </c>
      <c r="J21" s="6" t="s">
        <v>22</v>
      </c>
      <c r="K21" s="6" t="s">
        <v>22</v>
      </c>
      <c r="L21" s="6" t="s">
        <v>22</v>
      </c>
      <c r="M21" s="6" t="s">
        <v>22</v>
      </c>
      <c r="N21" s="6" t="s">
        <v>22</v>
      </c>
    </row>
    <row r="22" spans="1:14" x14ac:dyDescent="0.25">
      <c r="A22" s="1" t="s">
        <v>37</v>
      </c>
      <c r="B22" s="6">
        <v>4.32</v>
      </c>
      <c r="C22" s="6">
        <v>5</v>
      </c>
      <c r="D22" s="6" t="s">
        <v>22</v>
      </c>
      <c r="E22" s="6" t="s">
        <v>22</v>
      </c>
      <c r="F22" s="6" t="s">
        <v>22</v>
      </c>
      <c r="G22" s="6" t="s">
        <v>22</v>
      </c>
      <c r="H22" s="6" t="s">
        <v>22</v>
      </c>
      <c r="I22" s="6" t="s">
        <v>22</v>
      </c>
      <c r="J22" s="6" t="s">
        <v>57</v>
      </c>
      <c r="K22" s="6" t="s">
        <v>58</v>
      </c>
      <c r="L22" s="6" t="s">
        <v>19</v>
      </c>
      <c r="M22" s="6" t="s">
        <v>59</v>
      </c>
      <c r="N22" s="6" t="s">
        <v>66</v>
      </c>
    </row>
    <row r="23" spans="1:14" x14ac:dyDescent="0.25">
      <c r="A23" s="1" t="s">
        <v>38</v>
      </c>
      <c r="B23" s="6">
        <v>3.31</v>
      </c>
      <c r="C23" s="6">
        <v>4</v>
      </c>
      <c r="D23" s="6">
        <v>4.66</v>
      </c>
      <c r="E23" s="6" t="s">
        <v>64</v>
      </c>
      <c r="F23" s="6" t="s">
        <v>56</v>
      </c>
      <c r="G23" s="6" t="s">
        <v>61</v>
      </c>
      <c r="H23" s="6" t="s">
        <v>63</v>
      </c>
      <c r="I23" s="6" t="s">
        <v>61</v>
      </c>
      <c r="J23" s="6" t="s">
        <v>22</v>
      </c>
      <c r="K23" s="6" t="s">
        <v>22</v>
      </c>
      <c r="L23" s="6" t="s">
        <v>22</v>
      </c>
      <c r="M23" s="6" t="s">
        <v>22</v>
      </c>
      <c r="N23" s="6" t="s">
        <v>22</v>
      </c>
    </row>
    <row r="24" spans="1:14" x14ac:dyDescent="0.25">
      <c r="A24" s="1" t="s">
        <v>39</v>
      </c>
      <c r="B24" s="6">
        <v>3.06</v>
      </c>
      <c r="C24" s="6">
        <v>4</v>
      </c>
      <c r="D24" s="6" t="s">
        <v>22</v>
      </c>
      <c r="E24" s="6" t="s">
        <v>22</v>
      </c>
      <c r="F24" s="6" t="s">
        <v>22</v>
      </c>
      <c r="G24" s="6" t="s">
        <v>22</v>
      </c>
      <c r="H24" s="6" t="s">
        <v>22</v>
      </c>
      <c r="I24" s="6" t="s">
        <v>22</v>
      </c>
      <c r="J24" s="6" t="s">
        <v>65</v>
      </c>
      <c r="K24" s="6" t="s">
        <v>57</v>
      </c>
      <c r="L24" s="6" t="s">
        <v>56</v>
      </c>
      <c r="M24" s="6" t="s">
        <v>61</v>
      </c>
      <c r="N24" s="6" t="s">
        <v>63</v>
      </c>
    </row>
    <row r="25" spans="1:14" x14ac:dyDescent="0.25">
      <c r="A25" s="1" t="s">
        <v>40</v>
      </c>
      <c r="B25" s="6">
        <v>3.67</v>
      </c>
      <c r="C25" s="6">
        <v>5</v>
      </c>
      <c r="D25" s="6">
        <v>5</v>
      </c>
      <c r="E25" s="6" t="s">
        <v>58</v>
      </c>
      <c r="F25" s="6" t="s">
        <v>63</v>
      </c>
      <c r="G25" s="6" t="s">
        <v>59</v>
      </c>
      <c r="H25" s="6" t="s">
        <v>58</v>
      </c>
      <c r="I25" s="6" t="s">
        <v>19</v>
      </c>
      <c r="J25" s="6" t="s">
        <v>22</v>
      </c>
      <c r="K25" s="6" t="s">
        <v>22</v>
      </c>
      <c r="L25" s="6" t="s">
        <v>22</v>
      </c>
      <c r="M25" s="6" t="s">
        <v>22</v>
      </c>
      <c r="N25" s="6" t="s">
        <v>22</v>
      </c>
    </row>
    <row r="26" spans="1:14" x14ac:dyDescent="0.25">
      <c r="A26" s="1" t="s">
        <v>41</v>
      </c>
      <c r="B26" s="6">
        <v>2.71</v>
      </c>
      <c r="C26" s="6">
        <v>3.85</v>
      </c>
      <c r="D26" s="6">
        <v>4.87</v>
      </c>
      <c r="E26" s="6" t="s">
        <v>60</v>
      </c>
      <c r="F26" s="6" t="s">
        <v>57</v>
      </c>
      <c r="G26" s="6" t="s">
        <v>56</v>
      </c>
      <c r="H26" s="6" t="s">
        <v>56</v>
      </c>
      <c r="I26" s="6" t="s">
        <v>60</v>
      </c>
      <c r="J26" s="6" t="s">
        <v>22</v>
      </c>
      <c r="K26" s="6" t="s">
        <v>22</v>
      </c>
      <c r="L26" s="6" t="s">
        <v>22</v>
      </c>
      <c r="M26" s="6" t="s">
        <v>22</v>
      </c>
      <c r="N26" s="6" t="s">
        <v>22</v>
      </c>
    </row>
  </sheetData>
  <conditionalFormatting sqref="B2:B26">
    <cfRule type="cellIs" dxfId="750" priority="1" operator="between">
      <formula>4.5</formula>
      <formula>5</formula>
    </cfRule>
    <cfRule type="cellIs" dxfId="749" priority="2" operator="between">
      <formula>3.5</formula>
      <formula>4.5</formula>
    </cfRule>
    <cfRule type="cellIs" dxfId="748" priority="3" operator="between">
      <formula>2.5</formula>
      <formula>3.5</formula>
    </cfRule>
    <cfRule type="cellIs" dxfId="747" priority="4" operator="between">
      <formula>1.5</formula>
      <formula>2.5</formula>
    </cfRule>
    <cfRule type="cellIs" dxfId="746" priority="5" operator="between">
      <formula>1</formula>
      <formula>1.5</formula>
    </cfRule>
    <cfRule type="notContainsBlanks" dxfId="745" priority="6">
      <formula>LEN(TRIM(B2))&gt;0</formula>
    </cfRule>
  </conditionalFormatting>
  <conditionalFormatting sqref="C2:C26">
    <cfRule type="cellIs" dxfId="744" priority="7" operator="between">
      <formula>4.5</formula>
      <formula>5</formula>
    </cfRule>
    <cfRule type="cellIs" dxfId="743" priority="8" operator="between">
      <formula>3.5</formula>
      <formula>4.5</formula>
    </cfRule>
    <cfRule type="cellIs" dxfId="742" priority="9" operator="between">
      <formula>2.5</formula>
      <formula>3.5</formula>
    </cfRule>
    <cfRule type="cellIs" dxfId="741" priority="10" operator="between">
      <formula>1.5</formula>
      <formula>2.5</formula>
    </cfRule>
    <cfRule type="cellIs" dxfId="740" priority="11" operator="between">
      <formula>1</formula>
      <formula>1.5</formula>
    </cfRule>
    <cfRule type="notContainsBlanks" dxfId="739" priority="12">
      <formula>LEN(TRIM(C2))&gt;0</formula>
    </cfRule>
  </conditionalFormatting>
  <conditionalFormatting sqref="D2:D26">
    <cfRule type="cellIs" dxfId="738" priority="13" operator="between">
      <formula>4.5</formula>
      <formula>5</formula>
    </cfRule>
    <cfRule type="cellIs" dxfId="737" priority="14" operator="between">
      <formula>3.5</formula>
      <formula>4.5</formula>
    </cfRule>
    <cfRule type="cellIs" dxfId="736" priority="15" operator="between">
      <formula>2.5</formula>
      <formula>3.5</formula>
    </cfRule>
    <cfRule type="cellIs" dxfId="735" priority="16" operator="between">
      <formula>1.5</formula>
      <formula>2.5</formula>
    </cfRule>
    <cfRule type="cellIs" dxfId="734" priority="17" operator="between">
      <formula>1</formula>
      <formula>1.5</formula>
    </cfRule>
    <cfRule type="notContainsBlanks" dxfId="733" priority="18">
      <formula>LEN(TRIM(D2))&gt;0</formula>
    </cfRule>
  </conditionalFormatting>
  <conditionalFormatting sqref="E2:E26">
    <cfRule type="cellIs" dxfId="732" priority="19" operator="equal">
      <formula>"A+"</formula>
    </cfRule>
    <cfRule type="cellIs" dxfId="731" priority="20" operator="equal">
      <formula>"A"</formula>
    </cfRule>
    <cfRule type="cellIs" dxfId="730" priority="21" operator="equal">
      <formula>"A-"</formula>
    </cfRule>
    <cfRule type="cellIs" dxfId="729" priority="22" operator="equal">
      <formula>"B+"</formula>
    </cfRule>
    <cfRule type="cellIs" dxfId="728" priority="23" operator="equal">
      <formula>"B"</formula>
    </cfRule>
    <cfRule type="cellIs" dxfId="727" priority="24" operator="equal">
      <formula>"B-"</formula>
    </cfRule>
    <cfRule type="cellIs" dxfId="726" priority="25" operator="equal">
      <formula>"C+"</formula>
    </cfRule>
    <cfRule type="cellIs" dxfId="725" priority="26" operator="equal">
      <formula>"C"</formula>
    </cfRule>
    <cfRule type="cellIs" dxfId="724" priority="27" operator="equal">
      <formula>"C-"</formula>
    </cfRule>
    <cfRule type="cellIs" dxfId="723" priority="28" operator="equal">
      <formula>"D+"</formula>
    </cfRule>
    <cfRule type="cellIs" dxfId="722" priority="29" operator="equal">
      <formula>"D"</formula>
    </cfRule>
    <cfRule type="cellIs" dxfId="721" priority="30" operator="equal">
      <formula>"D-"</formula>
    </cfRule>
    <cfRule type="cellIs" dxfId="720" priority="31" operator="equal">
      <formula>"F"</formula>
    </cfRule>
    <cfRule type="notContainsBlanks" dxfId="719" priority="32">
      <formula>LEN(TRIM(E2))&gt;0</formula>
    </cfRule>
  </conditionalFormatting>
  <conditionalFormatting sqref="F2:F26">
    <cfRule type="cellIs" dxfId="718" priority="33" operator="equal">
      <formula>"A+"</formula>
    </cfRule>
    <cfRule type="cellIs" dxfId="717" priority="34" operator="equal">
      <formula>"A"</formula>
    </cfRule>
    <cfRule type="cellIs" dxfId="716" priority="35" operator="equal">
      <formula>"A-"</formula>
    </cfRule>
    <cfRule type="cellIs" dxfId="715" priority="36" operator="equal">
      <formula>"B+"</formula>
    </cfRule>
    <cfRule type="cellIs" dxfId="714" priority="37" operator="equal">
      <formula>"B"</formula>
    </cfRule>
    <cfRule type="cellIs" dxfId="713" priority="38" operator="equal">
      <formula>"B-"</formula>
    </cfRule>
    <cfRule type="cellIs" dxfId="712" priority="39" operator="equal">
      <formula>"C+"</formula>
    </cfRule>
    <cfRule type="cellIs" dxfId="711" priority="40" operator="equal">
      <formula>"C"</formula>
    </cfRule>
    <cfRule type="cellIs" dxfId="710" priority="41" operator="equal">
      <formula>"C-"</formula>
    </cfRule>
    <cfRule type="cellIs" dxfId="709" priority="42" operator="equal">
      <formula>"D+"</formula>
    </cfRule>
    <cfRule type="cellIs" dxfId="708" priority="43" operator="equal">
      <formula>"D"</formula>
    </cfRule>
    <cfRule type="cellIs" dxfId="707" priority="44" operator="equal">
      <formula>"D-"</formula>
    </cfRule>
    <cfRule type="cellIs" dxfId="706" priority="45" operator="equal">
      <formula>"F"</formula>
    </cfRule>
    <cfRule type="notContainsBlanks" dxfId="705" priority="46">
      <formula>LEN(TRIM(F2))&gt;0</formula>
    </cfRule>
  </conditionalFormatting>
  <conditionalFormatting sqref="G2:G26">
    <cfRule type="cellIs" dxfId="704" priority="47" operator="equal">
      <formula>"A+"</formula>
    </cfRule>
    <cfRule type="cellIs" dxfId="703" priority="48" operator="equal">
      <formula>"A"</formula>
    </cfRule>
    <cfRule type="cellIs" dxfId="702" priority="49" operator="equal">
      <formula>"A-"</formula>
    </cfRule>
    <cfRule type="cellIs" dxfId="701" priority="50" operator="equal">
      <formula>"B+"</formula>
    </cfRule>
    <cfRule type="cellIs" dxfId="700" priority="51" operator="equal">
      <formula>"B"</formula>
    </cfRule>
    <cfRule type="cellIs" dxfId="699" priority="52" operator="equal">
      <formula>"B-"</formula>
    </cfRule>
    <cfRule type="cellIs" dxfId="698" priority="53" operator="equal">
      <formula>"C+"</formula>
    </cfRule>
    <cfRule type="cellIs" dxfId="697" priority="54" operator="equal">
      <formula>"C"</formula>
    </cfRule>
    <cfRule type="cellIs" dxfId="696" priority="55" operator="equal">
      <formula>"C-"</formula>
    </cfRule>
    <cfRule type="cellIs" dxfId="695" priority="56" operator="equal">
      <formula>"D+"</formula>
    </cfRule>
    <cfRule type="cellIs" dxfId="694" priority="57" operator="equal">
      <formula>"D"</formula>
    </cfRule>
    <cfRule type="cellIs" dxfId="693" priority="58" operator="equal">
      <formula>"D-"</formula>
    </cfRule>
    <cfRule type="cellIs" dxfId="692" priority="59" operator="equal">
      <formula>"F"</formula>
    </cfRule>
    <cfRule type="notContainsBlanks" dxfId="691" priority="60">
      <formula>LEN(TRIM(G2))&gt;0</formula>
    </cfRule>
  </conditionalFormatting>
  <conditionalFormatting sqref="H2:H26">
    <cfRule type="cellIs" dxfId="690" priority="61" operator="equal">
      <formula>"A+"</formula>
    </cfRule>
    <cfRule type="cellIs" dxfId="689" priority="62" operator="equal">
      <formula>"A"</formula>
    </cfRule>
    <cfRule type="cellIs" dxfId="688" priority="63" operator="equal">
      <formula>"A-"</formula>
    </cfRule>
    <cfRule type="cellIs" dxfId="687" priority="64" operator="equal">
      <formula>"B+"</formula>
    </cfRule>
    <cfRule type="cellIs" dxfId="686" priority="65" operator="equal">
      <formula>"B"</formula>
    </cfRule>
    <cfRule type="cellIs" dxfId="685" priority="66" operator="equal">
      <formula>"B-"</formula>
    </cfRule>
    <cfRule type="cellIs" dxfId="684" priority="67" operator="equal">
      <formula>"C+"</formula>
    </cfRule>
    <cfRule type="cellIs" dxfId="683" priority="68" operator="equal">
      <formula>"C"</formula>
    </cfRule>
    <cfRule type="cellIs" dxfId="682" priority="69" operator="equal">
      <formula>"C-"</formula>
    </cfRule>
    <cfRule type="cellIs" dxfId="681" priority="70" operator="equal">
      <formula>"D+"</formula>
    </cfRule>
    <cfRule type="cellIs" dxfId="680" priority="71" operator="equal">
      <formula>"D"</formula>
    </cfRule>
    <cfRule type="cellIs" dxfId="679" priority="72" operator="equal">
      <formula>"D-"</formula>
    </cfRule>
    <cfRule type="cellIs" dxfId="678" priority="73" operator="equal">
      <formula>"F"</formula>
    </cfRule>
    <cfRule type="notContainsBlanks" dxfId="677" priority="74">
      <formula>LEN(TRIM(H2))&gt;0</formula>
    </cfRule>
  </conditionalFormatting>
  <conditionalFormatting sqref="I2:I26">
    <cfRule type="cellIs" dxfId="676" priority="75" operator="equal">
      <formula>"A+"</formula>
    </cfRule>
    <cfRule type="cellIs" dxfId="675" priority="76" operator="equal">
      <formula>"A"</formula>
    </cfRule>
    <cfRule type="cellIs" dxfId="674" priority="77" operator="equal">
      <formula>"A-"</formula>
    </cfRule>
    <cfRule type="cellIs" dxfId="673" priority="78" operator="equal">
      <formula>"B+"</formula>
    </cfRule>
    <cfRule type="cellIs" dxfId="672" priority="79" operator="equal">
      <formula>"B"</formula>
    </cfRule>
    <cfRule type="cellIs" dxfId="671" priority="80" operator="equal">
      <formula>"B-"</formula>
    </cfRule>
    <cfRule type="cellIs" dxfId="670" priority="81" operator="equal">
      <formula>"C+"</formula>
    </cfRule>
    <cfRule type="cellIs" dxfId="669" priority="82" operator="equal">
      <formula>"C"</formula>
    </cfRule>
    <cfRule type="cellIs" dxfId="668" priority="83" operator="equal">
      <formula>"C-"</formula>
    </cfRule>
    <cfRule type="cellIs" dxfId="667" priority="84" operator="equal">
      <formula>"D+"</formula>
    </cfRule>
    <cfRule type="cellIs" dxfId="666" priority="85" operator="equal">
      <formula>"D"</formula>
    </cfRule>
    <cfRule type="cellIs" dxfId="665" priority="86" operator="equal">
      <formula>"D-"</formula>
    </cfRule>
    <cfRule type="cellIs" dxfId="664" priority="87" operator="equal">
      <formula>"F"</formula>
    </cfRule>
    <cfRule type="notContainsBlanks" dxfId="663" priority="88">
      <formula>LEN(TRIM(I2))&gt;0</formula>
    </cfRule>
  </conditionalFormatting>
  <conditionalFormatting sqref="J2:J26">
    <cfRule type="cellIs" dxfId="662" priority="89" operator="equal">
      <formula>"A+"</formula>
    </cfRule>
    <cfRule type="cellIs" dxfId="661" priority="90" operator="equal">
      <formula>"A"</formula>
    </cfRule>
    <cfRule type="cellIs" dxfId="660" priority="91" operator="equal">
      <formula>"A-"</formula>
    </cfRule>
    <cfRule type="cellIs" dxfId="659" priority="92" operator="equal">
      <formula>"B+"</formula>
    </cfRule>
    <cfRule type="cellIs" dxfId="658" priority="93" operator="equal">
      <formula>"B"</formula>
    </cfRule>
    <cfRule type="cellIs" dxfId="657" priority="94" operator="equal">
      <formula>"B-"</formula>
    </cfRule>
    <cfRule type="cellIs" dxfId="656" priority="95" operator="equal">
      <formula>"C+"</formula>
    </cfRule>
    <cfRule type="cellIs" dxfId="655" priority="96" operator="equal">
      <formula>"C"</formula>
    </cfRule>
    <cfRule type="cellIs" dxfId="654" priority="97" operator="equal">
      <formula>"C-"</formula>
    </cfRule>
    <cfRule type="cellIs" dxfId="653" priority="98" operator="equal">
      <formula>"D+"</formula>
    </cfRule>
    <cfRule type="cellIs" dxfId="652" priority="99" operator="equal">
      <formula>"D"</formula>
    </cfRule>
    <cfRule type="cellIs" dxfId="651" priority="100" operator="equal">
      <formula>"D-"</formula>
    </cfRule>
    <cfRule type="cellIs" dxfId="650" priority="101" operator="equal">
      <formula>"F"</formula>
    </cfRule>
    <cfRule type="notContainsBlanks" dxfId="649" priority="102">
      <formula>LEN(TRIM(J2))&gt;0</formula>
    </cfRule>
  </conditionalFormatting>
  <conditionalFormatting sqref="K2:K26">
    <cfRule type="cellIs" dxfId="648" priority="103" operator="equal">
      <formula>"A+"</formula>
    </cfRule>
    <cfRule type="cellIs" dxfId="647" priority="104" operator="equal">
      <formula>"A"</formula>
    </cfRule>
    <cfRule type="cellIs" dxfId="646" priority="105" operator="equal">
      <formula>"A-"</formula>
    </cfRule>
    <cfRule type="cellIs" dxfId="645" priority="106" operator="equal">
      <formula>"B+"</formula>
    </cfRule>
    <cfRule type="cellIs" dxfId="644" priority="107" operator="equal">
      <formula>"B"</formula>
    </cfRule>
    <cfRule type="cellIs" dxfId="643" priority="108" operator="equal">
      <formula>"B-"</formula>
    </cfRule>
    <cfRule type="cellIs" dxfId="642" priority="109" operator="equal">
      <formula>"C+"</formula>
    </cfRule>
    <cfRule type="cellIs" dxfId="641" priority="110" operator="equal">
      <formula>"C"</formula>
    </cfRule>
    <cfRule type="cellIs" dxfId="640" priority="111" operator="equal">
      <formula>"C-"</formula>
    </cfRule>
    <cfRule type="cellIs" dxfId="639" priority="112" operator="equal">
      <formula>"D+"</formula>
    </cfRule>
    <cfRule type="cellIs" dxfId="638" priority="113" operator="equal">
      <formula>"D"</formula>
    </cfRule>
    <cfRule type="cellIs" dxfId="637" priority="114" operator="equal">
      <formula>"D-"</formula>
    </cfRule>
    <cfRule type="cellIs" dxfId="636" priority="115" operator="equal">
      <formula>"F"</formula>
    </cfRule>
    <cfRule type="notContainsBlanks" dxfId="635" priority="116">
      <formula>LEN(TRIM(K2))&gt;0</formula>
    </cfRule>
  </conditionalFormatting>
  <conditionalFormatting sqref="L2:L26">
    <cfRule type="cellIs" dxfId="634" priority="117" operator="equal">
      <formula>"A+"</formula>
    </cfRule>
    <cfRule type="cellIs" dxfId="633" priority="118" operator="equal">
      <formula>"A"</formula>
    </cfRule>
    <cfRule type="cellIs" dxfId="632" priority="119" operator="equal">
      <formula>"A-"</formula>
    </cfRule>
    <cfRule type="cellIs" dxfId="631" priority="120" operator="equal">
      <formula>"B+"</formula>
    </cfRule>
    <cfRule type="cellIs" dxfId="630" priority="121" operator="equal">
      <formula>"B"</formula>
    </cfRule>
    <cfRule type="cellIs" dxfId="629" priority="122" operator="equal">
      <formula>"B-"</formula>
    </cfRule>
    <cfRule type="cellIs" dxfId="628" priority="123" operator="equal">
      <formula>"C+"</formula>
    </cfRule>
    <cfRule type="cellIs" dxfId="627" priority="124" operator="equal">
      <formula>"C"</formula>
    </cfRule>
    <cfRule type="cellIs" dxfId="626" priority="125" operator="equal">
      <formula>"C-"</formula>
    </cfRule>
    <cfRule type="cellIs" dxfId="625" priority="126" operator="equal">
      <formula>"D+"</formula>
    </cfRule>
    <cfRule type="cellIs" dxfId="624" priority="127" operator="equal">
      <formula>"D"</formula>
    </cfRule>
    <cfRule type="cellIs" dxfId="623" priority="128" operator="equal">
      <formula>"D-"</formula>
    </cfRule>
    <cfRule type="cellIs" dxfId="622" priority="129" operator="equal">
      <formula>"F"</formula>
    </cfRule>
    <cfRule type="notContainsBlanks" dxfId="621" priority="130">
      <formula>LEN(TRIM(L2))&gt;0</formula>
    </cfRule>
  </conditionalFormatting>
  <conditionalFormatting sqref="M2:M26">
    <cfRule type="cellIs" dxfId="620" priority="131" operator="equal">
      <formula>"A+"</formula>
    </cfRule>
    <cfRule type="cellIs" dxfId="619" priority="132" operator="equal">
      <formula>"A"</formula>
    </cfRule>
    <cfRule type="cellIs" dxfId="618" priority="133" operator="equal">
      <formula>"A-"</formula>
    </cfRule>
    <cfRule type="cellIs" dxfId="617" priority="134" operator="equal">
      <formula>"B+"</formula>
    </cfRule>
    <cfRule type="cellIs" dxfId="616" priority="135" operator="equal">
      <formula>"B"</formula>
    </cfRule>
    <cfRule type="cellIs" dxfId="615" priority="136" operator="equal">
      <formula>"B-"</formula>
    </cfRule>
    <cfRule type="cellIs" dxfId="614" priority="137" operator="equal">
      <formula>"C+"</formula>
    </cfRule>
    <cfRule type="cellIs" dxfId="613" priority="138" operator="equal">
      <formula>"C"</formula>
    </cfRule>
    <cfRule type="cellIs" dxfId="612" priority="139" operator="equal">
      <formula>"C-"</formula>
    </cfRule>
    <cfRule type="cellIs" dxfId="611" priority="140" operator="equal">
      <formula>"D+"</formula>
    </cfRule>
    <cfRule type="cellIs" dxfId="610" priority="141" operator="equal">
      <formula>"D"</formula>
    </cfRule>
    <cfRule type="cellIs" dxfId="609" priority="142" operator="equal">
      <formula>"D-"</formula>
    </cfRule>
    <cfRule type="cellIs" dxfId="608" priority="143" operator="equal">
      <formula>"F"</formula>
    </cfRule>
    <cfRule type="notContainsBlanks" dxfId="607" priority="144">
      <formula>LEN(TRIM(M2))&gt;0</formula>
    </cfRule>
  </conditionalFormatting>
  <conditionalFormatting sqref="N2:N26">
    <cfRule type="cellIs" dxfId="606" priority="145" operator="equal">
      <formula>"A+"</formula>
    </cfRule>
    <cfRule type="cellIs" dxfId="605" priority="146" operator="equal">
      <formula>"A"</formula>
    </cfRule>
    <cfRule type="cellIs" dxfId="604" priority="147" operator="equal">
      <formula>"A-"</formula>
    </cfRule>
    <cfRule type="cellIs" dxfId="603" priority="148" operator="equal">
      <formula>"B+"</formula>
    </cfRule>
    <cfRule type="cellIs" dxfId="602" priority="149" operator="equal">
      <formula>"B"</formula>
    </cfRule>
    <cfRule type="cellIs" dxfId="601" priority="150" operator="equal">
      <formula>"B-"</formula>
    </cfRule>
    <cfRule type="cellIs" dxfId="600" priority="151" operator="equal">
      <formula>"C+"</formula>
    </cfRule>
    <cfRule type="cellIs" dxfId="599" priority="152" operator="equal">
      <formula>"C"</formula>
    </cfRule>
    <cfRule type="cellIs" dxfId="598" priority="153" operator="equal">
      <formula>"C-"</formula>
    </cfRule>
    <cfRule type="cellIs" dxfId="597" priority="154" operator="equal">
      <formula>"D+"</formula>
    </cfRule>
    <cfRule type="cellIs" dxfId="596" priority="155" operator="equal">
      <formula>"D"</formula>
    </cfRule>
    <cfRule type="cellIs" dxfId="595" priority="156" operator="equal">
      <formula>"D-"</formula>
    </cfRule>
    <cfRule type="cellIs" dxfId="594" priority="157" operator="equal">
      <formula>"F"</formula>
    </cfRule>
    <cfRule type="notContainsBlanks" dxfId="593" priority="158">
      <formula>LEN(TRIM(N2))&gt;0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workbookViewId="0"/>
  </sheetViews>
  <sheetFormatPr defaultColWidth="15" defaultRowHeight="20.100000000000001" customHeight="1" x14ac:dyDescent="0.25"/>
  <cols>
    <col min="1" max="1" width="20" style="1" customWidth="1"/>
    <col min="2" max="2" width="15" style="2" customWidth="1"/>
    <col min="3" max="3" width="15" style="3" customWidth="1"/>
    <col min="4" max="5" width="15" style="4" customWidth="1"/>
    <col min="6" max="6" width="15" style="16" customWidth="1"/>
    <col min="7" max="7" width="15" style="17" customWidth="1"/>
    <col min="8" max="8" width="15" style="15" customWidth="1"/>
    <col min="9" max="13" width="15" style="14" customWidth="1"/>
  </cols>
  <sheetData>
    <row r="1" spans="1:13" s="7" customFormat="1" ht="20.100000000000001" customHeight="1" x14ac:dyDescent="0.2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2" t="s">
        <v>67</v>
      </c>
      <c r="G1" s="18" t="s">
        <v>68</v>
      </c>
      <c r="H1" s="9" t="s">
        <v>69</v>
      </c>
      <c r="I1" s="11" t="s">
        <v>70</v>
      </c>
      <c r="J1" s="9" t="s">
        <v>71</v>
      </c>
      <c r="K1" s="9" t="s">
        <v>72</v>
      </c>
      <c r="L1" s="11" t="s">
        <v>73</v>
      </c>
      <c r="M1" s="9" t="s">
        <v>74</v>
      </c>
    </row>
    <row r="2" spans="1:13" x14ac:dyDescent="0.25">
      <c r="A2" s="1" t="s">
        <v>16</v>
      </c>
      <c r="B2" s="2">
        <v>180.48</v>
      </c>
      <c r="C2" s="3">
        <v>1.6599999999999966</v>
      </c>
      <c r="D2" s="4">
        <v>9.2830779554859966E-3</v>
      </c>
      <c r="E2" s="14">
        <v>1.297491649542259E-2</v>
      </c>
      <c r="F2" s="16">
        <v>90</v>
      </c>
      <c r="G2" s="17">
        <v>219.50999999999996</v>
      </c>
      <c r="H2" s="15">
        <v>149.39999999999969</v>
      </c>
      <c r="I2" s="14">
        <v>9.2830779554859445E-3</v>
      </c>
      <c r="J2" s="15" t="s">
        <v>75</v>
      </c>
      <c r="K2" s="15">
        <v>-3512.7000000000003</v>
      </c>
      <c r="L2" s="14">
        <v>-0.17780511138444724</v>
      </c>
      <c r="M2" s="15">
        <v>16243.199999999999</v>
      </c>
    </row>
    <row r="3" spans="1:13" x14ac:dyDescent="0.25">
      <c r="A3" s="1" t="s">
        <v>17</v>
      </c>
      <c r="B3" s="2">
        <v>191.52</v>
      </c>
      <c r="C3" s="3">
        <v>2.8500000000000227</v>
      </c>
      <c r="D3" s="4">
        <v>1.5105740181269089E-2</v>
      </c>
      <c r="E3" s="14">
        <v>4.1152800306448051E-2</v>
      </c>
      <c r="F3" s="16">
        <v>269</v>
      </c>
      <c r="G3" s="17">
        <v>37.91003717472119</v>
      </c>
      <c r="H3" s="15">
        <v>766.65000000000612</v>
      </c>
      <c r="I3" s="14">
        <v>1.5105740181269004E-2</v>
      </c>
      <c r="J3" s="15" t="s">
        <v>22</v>
      </c>
      <c r="K3" s="15">
        <v>41321.079999999994</v>
      </c>
      <c r="L3" s="14">
        <v>4.0519602267155657</v>
      </c>
      <c r="M3" s="15">
        <v>51518.879999999997</v>
      </c>
    </row>
    <row r="4" spans="1:13" x14ac:dyDescent="0.25">
      <c r="A4" s="19">
        <v>45086</v>
      </c>
      <c r="B4" s="2">
        <v>191.52</v>
      </c>
      <c r="C4" s="3">
        <v>2.8500000000000227</v>
      </c>
      <c r="D4" s="4">
        <v>1.5105740181269089E-2</v>
      </c>
      <c r="E4" s="14">
        <v>1.8358126530757496E-2</v>
      </c>
      <c r="F4" s="16">
        <v>120</v>
      </c>
      <c r="G4" s="17">
        <v>40.799999999999997</v>
      </c>
      <c r="H4" s="15">
        <v>342.00000000000273</v>
      </c>
      <c r="I4" s="14">
        <v>1.5105740181269004E-2</v>
      </c>
      <c r="J4" s="15" t="s">
        <v>22</v>
      </c>
      <c r="K4" s="15">
        <v>18086.400000000001</v>
      </c>
      <c r="L4" s="14">
        <v>3.6941176470588237</v>
      </c>
      <c r="M4" s="15">
        <v>22982.400000000001</v>
      </c>
    </row>
    <row r="5" spans="1:13" x14ac:dyDescent="0.25">
      <c r="A5" s="19">
        <v>45086</v>
      </c>
      <c r="B5" s="2">
        <v>191.52</v>
      </c>
      <c r="C5" s="3">
        <v>2.8500000000000227</v>
      </c>
      <c r="D5" s="4">
        <v>1.5105740181269089E-2</v>
      </c>
      <c r="E5" s="14">
        <v>2.2029751836908994E-2</v>
      </c>
      <c r="F5" s="16">
        <v>144</v>
      </c>
      <c r="G5" s="17">
        <v>34.450000000000003</v>
      </c>
      <c r="H5" s="15">
        <v>410.40000000000327</v>
      </c>
      <c r="I5" s="14">
        <v>1.5105740181269004E-2</v>
      </c>
      <c r="J5" s="15" t="s">
        <v>22</v>
      </c>
      <c r="K5" s="15">
        <v>22618.079999999998</v>
      </c>
      <c r="L5" s="14">
        <v>4.5593613933236572</v>
      </c>
      <c r="M5" s="15">
        <v>27578.880000000001</v>
      </c>
    </row>
    <row r="6" spans="1:13" x14ac:dyDescent="0.25">
      <c r="A6" s="19">
        <v>45349</v>
      </c>
      <c r="B6" s="2">
        <v>191.52</v>
      </c>
      <c r="C6" s="3">
        <v>2.8500000000000227</v>
      </c>
      <c r="D6" s="4">
        <v>1.5105740181269089E-2</v>
      </c>
      <c r="E6" s="14">
        <v>7.6492193878156226E-4</v>
      </c>
      <c r="F6" s="16">
        <v>5</v>
      </c>
      <c r="G6" s="17">
        <v>68.2</v>
      </c>
      <c r="H6" s="15">
        <v>14.250000000000114</v>
      </c>
      <c r="I6" s="14">
        <v>1.5105740181269004E-2</v>
      </c>
      <c r="J6" s="15" t="s">
        <v>22</v>
      </c>
      <c r="K6" s="15">
        <v>616.6</v>
      </c>
      <c r="L6" s="14">
        <v>1.8082111436950146</v>
      </c>
      <c r="M6" s="15">
        <v>957.6</v>
      </c>
    </row>
    <row r="7" spans="1:13" x14ac:dyDescent="0.25">
      <c r="A7" s="1" t="s">
        <v>18</v>
      </c>
      <c r="B7" s="2">
        <v>1733.48</v>
      </c>
      <c r="C7" s="3">
        <v>-7.5099999999999909</v>
      </c>
      <c r="D7" s="4">
        <v>-4.3136376429502299E-3</v>
      </c>
      <c r="E7" s="14">
        <v>2.3539689851152946E-2</v>
      </c>
      <c r="F7" s="16">
        <v>17</v>
      </c>
      <c r="G7" s="17">
        <v>369.65</v>
      </c>
      <c r="H7" s="15">
        <v>-127.66999999999985</v>
      </c>
      <c r="I7" s="14">
        <v>-4.3136376429502698E-3</v>
      </c>
      <c r="J7" s="15" t="s">
        <v>76</v>
      </c>
      <c r="K7" s="15">
        <v>23185.11</v>
      </c>
      <c r="L7" s="14">
        <v>3.6895171107804687</v>
      </c>
      <c r="M7" s="15">
        <v>29469.16</v>
      </c>
    </row>
    <row r="8" spans="1:13" x14ac:dyDescent="0.25">
      <c r="A8" s="1" t="s">
        <v>19</v>
      </c>
      <c r="B8" s="2">
        <v>40.880000000000003</v>
      </c>
      <c r="C8" s="3">
        <v>-2.7999999999999972</v>
      </c>
      <c r="D8" s="4">
        <v>-6.4102564102563986E-2</v>
      </c>
      <c r="E8" s="14">
        <v>1.5086407782074254E-2</v>
      </c>
      <c r="F8" s="16">
        <v>462</v>
      </c>
      <c r="G8" s="17">
        <v>43.29</v>
      </c>
      <c r="H8" s="15">
        <v>-1293.5999999999988</v>
      </c>
      <c r="I8" s="14">
        <v>-6.4102564102564041E-2</v>
      </c>
      <c r="J8" s="15" t="s">
        <v>77</v>
      </c>
      <c r="K8" s="15">
        <v>-1113.4199999999985</v>
      </c>
      <c r="L8" s="14">
        <v>-5.5671055671055597E-2</v>
      </c>
      <c r="M8" s="15">
        <v>18886.560000000001</v>
      </c>
    </row>
    <row r="9" spans="1:13" x14ac:dyDescent="0.25">
      <c r="A9" s="1" t="s">
        <v>20</v>
      </c>
      <c r="B9" s="2">
        <v>57.05</v>
      </c>
      <c r="C9" s="3">
        <v>-2.2800000000000011</v>
      </c>
      <c r="D9" s="4">
        <v>-3.8429125231754568E-2</v>
      </c>
      <c r="E9" s="14">
        <v>2.4152633878413439E-2</v>
      </c>
      <c r="F9" s="16">
        <v>530</v>
      </c>
      <c r="G9" s="17">
        <v>57.1</v>
      </c>
      <c r="H9" s="15">
        <v>-1208.4000000000005</v>
      </c>
      <c r="I9" s="14">
        <v>-3.842912523175461E-2</v>
      </c>
      <c r="J9" s="15" t="s">
        <v>78</v>
      </c>
      <c r="K9" s="15">
        <v>-26.50000000000226</v>
      </c>
      <c r="L9" s="14">
        <v>-8.756567425569924E-4</v>
      </c>
      <c r="M9" s="15">
        <v>30236.5</v>
      </c>
    </row>
    <row r="10" spans="1:13" x14ac:dyDescent="0.25">
      <c r="A10" s="1" t="s">
        <v>21</v>
      </c>
      <c r="B10" s="2">
        <v>51.21</v>
      </c>
      <c r="C10" s="3">
        <v>-8.9999999999996305E-2</v>
      </c>
      <c r="D10" s="4">
        <v>-1.7543859649121751E-3</v>
      </c>
      <c r="E10" s="14">
        <v>0.28846960455748416</v>
      </c>
      <c r="F10" s="16">
        <v>7052</v>
      </c>
      <c r="G10" s="17">
        <v>41.989541973908111</v>
      </c>
      <c r="H10" s="15">
        <v>-634.67999999997392</v>
      </c>
      <c r="I10" s="14">
        <v>-1.7543859649122087E-3</v>
      </c>
      <c r="J10" s="15" t="s">
        <v>79</v>
      </c>
      <c r="K10" s="15">
        <v>65022.67</v>
      </c>
      <c r="L10" s="14">
        <v>0.21958939280217418</v>
      </c>
      <c r="M10" s="15">
        <v>361132.92</v>
      </c>
    </row>
    <row r="11" spans="1:13" x14ac:dyDescent="0.25">
      <c r="A11" s="19">
        <v>45517</v>
      </c>
      <c r="B11" s="2">
        <v>51.21</v>
      </c>
      <c r="C11" s="3">
        <v>-8.9999999999996305E-2</v>
      </c>
      <c r="D11" s="4">
        <v>-1.7543859649121751E-3</v>
      </c>
      <c r="E11" s="14">
        <v>2.454364190789712E-2</v>
      </c>
      <c r="F11" s="16">
        <v>600</v>
      </c>
      <c r="G11" s="17">
        <v>34.159999999999997</v>
      </c>
      <c r="H11" s="15">
        <v>-53.999999999997783</v>
      </c>
      <c r="I11" s="14">
        <v>-1.7543859649122087E-3</v>
      </c>
      <c r="J11" s="15" t="s">
        <v>80</v>
      </c>
      <c r="K11" s="15">
        <v>10230.000000000002</v>
      </c>
      <c r="L11" s="14">
        <v>0.49912177985948519</v>
      </c>
      <c r="M11" s="15">
        <v>30726</v>
      </c>
    </row>
    <row r="12" spans="1:13" x14ac:dyDescent="0.25">
      <c r="A12" s="19">
        <v>45793</v>
      </c>
      <c r="B12" s="2">
        <v>51.21</v>
      </c>
      <c r="C12" s="3">
        <v>-8.9999999999996305E-2</v>
      </c>
      <c r="D12" s="4">
        <v>-1.7543859649121751E-3</v>
      </c>
      <c r="E12" s="14">
        <v>2.2089277717107406E-2</v>
      </c>
      <c r="F12" s="16">
        <v>540</v>
      </c>
      <c r="G12" s="17">
        <v>37.11</v>
      </c>
      <c r="H12" s="15">
        <v>-48.599999999998005</v>
      </c>
      <c r="I12" s="14">
        <v>-1.7543859649122087E-3</v>
      </c>
      <c r="J12" s="15" t="s">
        <v>81</v>
      </c>
      <c r="K12" s="15">
        <v>7614.0000000000009</v>
      </c>
      <c r="L12" s="14">
        <v>0.37995149555375901</v>
      </c>
      <c r="M12" s="15">
        <v>27653.4</v>
      </c>
    </row>
    <row r="13" spans="1:13" x14ac:dyDescent="0.25">
      <c r="A13" s="19">
        <v>45905</v>
      </c>
      <c r="B13" s="2">
        <v>51.21</v>
      </c>
      <c r="C13" s="3">
        <v>-8.9999999999996305E-2</v>
      </c>
      <c r="D13" s="4">
        <v>-1.7543859649121751E-3</v>
      </c>
      <c r="E13" s="14">
        <v>7.1585622231366608E-2</v>
      </c>
      <c r="F13" s="16">
        <v>1750</v>
      </c>
      <c r="G13" s="17">
        <v>41.17</v>
      </c>
      <c r="H13" s="15">
        <v>-157.49999999999352</v>
      </c>
      <c r="I13" s="14">
        <v>-1.7543859649122087E-3</v>
      </c>
      <c r="J13" s="15" t="s">
        <v>82</v>
      </c>
      <c r="K13" s="15">
        <v>17570</v>
      </c>
      <c r="L13" s="14">
        <v>0.24386689336895806</v>
      </c>
      <c r="M13" s="15">
        <v>89617.5</v>
      </c>
    </row>
    <row r="14" spans="1:13" x14ac:dyDescent="0.25">
      <c r="A14" s="19">
        <v>45981</v>
      </c>
      <c r="B14" s="2">
        <v>51.21</v>
      </c>
      <c r="C14" s="3">
        <v>-8.9999999999996305E-2</v>
      </c>
      <c r="D14" s="4">
        <v>-1.7543859649121751E-3</v>
      </c>
      <c r="E14" s="14">
        <v>9.5515673091566292E-2</v>
      </c>
      <c r="F14" s="16">
        <v>2335</v>
      </c>
      <c r="G14" s="17">
        <v>42.88</v>
      </c>
      <c r="H14" s="15">
        <v>-210.14999999999137</v>
      </c>
      <c r="I14" s="14">
        <v>-1.7543859649122087E-3</v>
      </c>
      <c r="J14" s="15" t="s">
        <v>83</v>
      </c>
      <c r="K14" s="15">
        <v>19450.549999999996</v>
      </c>
      <c r="L14" s="14">
        <v>0.19426305970149252</v>
      </c>
      <c r="M14" s="15">
        <v>119575.35</v>
      </c>
    </row>
    <row r="15" spans="1:13" x14ac:dyDescent="0.25">
      <c r="A15" s="19">
        <v>46071</v>
      </c>
      <c r="B15" s="2">
        <v>51.21</v>
      </c>
      <c r="C15" s="3">
        <v>-8.9999999999996305E-2</v>
      </c>
      <c r="D15" s="4">
        <v>-1.7543859649121751E-3</v>
      </c>
      <c r="E15" s="14">
        <v>7.4735389609546732E-2</v>
      </c>
      <c r="F15" s="16">
        <v>1827</v>
      </c>
      <c r="G15" s="17">
        <v>45.65</v>
      </c>
      <c r="H15" s="15">
        <v>-164.42999999999324</v>
      </c>
      <c r="I15" s="14">
        <v>-1.7543859649122087E-3</v>
      </c>
      <c r="J15" s="15" t="s">
        <v>84</v>
      </c>
      <c r="K15" s="15">
        <v>10158.120000000004</v>
      </c>
      <c r="L15" s="14">
        <v>0.12179627601314348</v>
      </c>
      <c r="M15" s="15">
        <v>93560.67</v>
      </c>
    </row>
    <row r="16" spans="1:13" x14ac:dyDescent="0.25">
      <c r="A16" s="1" t="s">
        <v>23</v>
      </c>
      <c r="B16" s="2">
        <v>36.54</v>
      </c>
      <c r="C16" s="3">
        <v>2.2299999999999969</v>
      </c>
      <c r="D16" s="4">
        <v>6.4995628096764735E-2</v>
      </c>
      <c r="E16" s="14">
        <v>2.2824868062747722E-2</v>
      </c>
      <c r="F16" s="16">
        <v>782</v>
      </c>
      <c r="G16" s="17">
        <v>32.206496163682864</v>
      </c>
      <c r="H16" s="15">
        <v>1743.8599999999976</v>
      </c>
      <c r="I16" s="14">
        <v>6.4995628096764693E-2</v>
      </c>
      <c r="J16" s="15" t="s">
        <v>22</v>
      </c>
      <c r="K16" s="15">
        <v>3388.7999999999984</v>
      </c>
      <c r="L16" s="14">
        <v>0.13455371904764168</v>
      </c>
      <c r="M16" s="15">
        <v>28574.28</v>
      </c>
    </row>
    <row r="17" spans="1:13" x14ac:dyDescent="0.25">
      <c r="A17" s="19">
        <v>46044</v>
      </c>
      <c r="B17" s="2">
        <v>36.54</v>
      </c>
      <c r="C17" s="3">
        <v>2.2299999999999969</v>
      </c>
      <c r="D17" s="4">
        <v>6.4995628096764735E-2</v>
      </c>
      <c r="E17" s="14">
        <v>1.4068524816169312E-2</v>
      </c>
      <c r="F17" s="16">
        <v>482</v>
      </c>
      <c r="G17" s="17">
        <v>31.14</v>
      </c>
      <c r="H17" s="15">
        <v>1074.8599999999985</v>
      </c>
      <c r="I17" s="14">
        <v>6.4995628096764693E-2</v>
      </c>
      <c r="J17" s="15" t="s">
        <v>22</v>
      </c>
      <c r="K17" s="15">
        <v>2602.7999999999993</v>
      </c>
      <c r="L17" s="14">
        <v>0.17341040462427748</v>
      </c>
      <c r="M17" s="15">
        <v>17612.28</v>
      </c>
    </row>
    <row r="18" spans="1:13" x14ac:dyDescent="0.25">
      <c r="A18" s="19">
        <v>46052</v>
      </c>
      <c r="B18" s="2">
        <v>36.54</v>
      </c>
      <c r="C18" s="3">
        <v>2.2299999999999969</v>
      </c>
      <c r="D18" s="4">
        <v>6.4995628096764735E-2</v>
      </c>
      <c r="E18" s="14">
        <v>8.7563432465784102E-3</v>
      </c>
      <c r="F18" s="16">
        <v>300</v>
      </c>
      <c r="G18" s="17">
        <v>33.92</v>
      </c>
      <c r="H18" s="15">
        <v>668.99999999999909</v>
      </c>
      <c r="I18" s="14">
        <v>6.4995628096764693E-2</v>
      </c>
      <c r="J18" s="15" t="s">
        <v>22</v>
      </c>
      <c r="K18" s="15">
        <v>785.9999999999992</v>
      </c>
      <c r="L18" s="14">
        <v>7.7240566037735769E-2</v>
      </c>
      <c r="M18" s="15">
        <v>10962</v>
      </c>
    </row>
    <row r="19" spans="1:13" x14ac:dyDescent="0.25">
      <c r="A19" s="1" t="s">
        <v>24</v>
      </c>
      <c r="B19" s="2">
        <v>42.53</v>
      </c>
      <c r="C19" s="3">
        <v>-1.8999999999999986</v>
      </c>
      <c r="D19" s="4">
        <v>-4.2763898266936717E-2</v>
      </c>
      <c r="E19" s="14">
        <v>1.5967106439534803E-2</v>
      </c>
      <c r="F19" s="16">
        <v>470</v>
      </c>
      <c r="G19" s="17">
        <v>42.82</v>
      </c>
      <c r="H19" s="15">
        <v>-892.99999999999932</v>
      </c>
      <c r="I19" s="14">
        <v>-4.2763898266936724E-2</v>
      </c>
      <c r="J19" s="15" t="s">
        <v>22</v>
      </c>
      <c r="K19" s="15">
        <v>-136.29999999999961</v>
      </c>
      <c r="L19" s="14">
        <v>-6.7725361980382802E-3</v>
      </c>
      <c r="M19" s="15">
        <v>19989.100000000002</v>
      </c>
    </row>
    <row r="20" spans="1:13" x14ac:dyDescent="0.25">
      <c r="A20" s="1" t="s">
        <v>25</v>
      </c>
      <c r="B20" s="2">
        <v>62.16</v>
      </c>
      <c r="C20" s="3">
        <v>3.9299999999999997</v>
      </c>
      <c r="D20" s="4">
        <v>6.749098402885112E-2</v>
      </c>
      <c r="E20" s="14">
        <v>1.613716897166366E-2</v>
      </c>
      <c r="F20" s="16">
        <v>325</v>
      </c>
      <c r="G20" s="17">
        <v>61.57</v>
      </c>
      <c r="H20" s="15">
        <v>1277.25</v>
      </c>
      <c r="I20" s="14">
        <v>6.7490984028851106E-2</v>
      </c>
      <c r="J20" s="15" t="s">
        <v>22</v>
      </c>
      <c r="K20" s="15">
        <v>191.74999999999881</v>
      </c>
      <c r="L20" s="14">
        <v>9.5825889231768123E-3</v>
      </c>
      <c r="M20" s="15">
        <v>20202</v>
      </c>
    </row>
    <row r="21" spans="1:13" x14ac:dyDescent="0.25">
      <c r="A21" s="1" t="s">
        <v>26</v>
      </c>
      <c r="B21" s="2">
        <v>62.42</v>
      </c>
      <c r="C21" s="3">
        <v>1.6499999999999986</v>
      </c>
      <c r="D21" s="4">
        <v>2.7151555043607001E-2</v>
      </c>
      <c r="E21" s="14">
        <v>1.0969312899043364E-2</v>
      </c>
      <c r="F21" s="16">
        <v>220</v>
      </c>
      <c r="G21" s="17">
        <v>92.17</v>
      </c>
      <c r="H21" s="15">
        <v>362.99999999999966</v>
      </c>
      <c r="I21" s="14">
        <v>2.7151555043607015E-2</v>
      </c>
      <c r="J21" s="15" t="s">
        <v>22</v>
      </c>
      <c r="K21" s="15">
        <v>-6545</v>
      </c>
      <c r="L21" s="14">
        <v>-0.32277313659542151</v>
      </c>
      <c r="M21" s="15">
        <v>13732.4</v>
      </c>
    </row>
    <row r="22" spans="1:13" x14ac:dyDescent="0.25">
      <c r="A22" s="1" t="s">
        <v>27</v>
      </c>
      <c r="B22" s="2">
        <v>289.72000000000003</v>
      </c>
      <c r="C22" s="3">
        <v>3.0500000000000114</v>
      </c>
      <c r="D22" s="4">
        <v>1.0639411169637514E-2</v>
      </c>
      <c r="E22" s="14">
        <v>3.2399588319268167E-2</v>
      </c>
      <c r="F22" s="16">
        <v>140</v>
      </c>
      <c r="G22" s="17">
        <v>290.5</v>
      </c>
      <c r="H22" s="15">
        <v>427.00000000000159</v>
      </c>
      <c r="I22" s="14">
        <v>1.0639411169637601E-2</v>
      </c>
      <c r="J22" s="15" t="s">
        <v>85</v>
      </c>
      <c r="K22" s="15">
        <v>-109.19999999999618</v>
      </c>
      <c r="L22" s="14">
        <v>-2.6850258175558439E-3</v>
      </c>
      <c r="M22" s="15">
        <v>40560.800000000003</v>
      </c>
    </row>
    <row r="23" spans="1:13" x14ac:dyDescent="0.25">
      <c r="A23" s="1" t="s">
        <v>28</v>
      </c>
      <c r="B23" s="2">
        <v>603.16</v>
      </c>
      <c r="C23" s="3">
        <v>15.209999999999923</v>
      </c>
      <c r="D23" s="4">
        <v>2.586954673016395E-2</v>
      </c>
      <c r="E23" s="14">
        <v>3.3725900335927421E-2</v>
      </c>
      <c r="F23" s="16">
        <v>70</v>
      </c>
      <c r="G23" s="17">
        <v>600.47</v>
      </c>
      <c r="H23" s="15">
        <v>1064.6999999999946</v>
      </c>
      <c r="I23" s="14">
        <v>2.5869546730163999E-2</v>
      </c>
      <c r="J23" s="15" t="s">
        <v>86</v>
      </c>
      <c r="K23" s="15">
        <v>188.29999999999586</v>
      </c>
      <c r="L23" s="14">
        <v>4.4798241377586572E-3</v>
      </c>
      <c r="M23" s="15">
        <v>42221.2</v>
      </c>
    </row>
    <row r="24" spans="1:13" x14ac:dyDescent="0.25">
      <c r="A24" s="1" t="s">
        <v>29</v>
      </c>
      <c r="B24" s="2">
        <v>25.39</v>
      </c>
      <c r="C24" s="3">
        <v>-0.16000000000000014</v>
      </c>
      <c r="D24" s="4">
        <v>-6.2622309197651882E-3</v>
      </c>
      <c r="E24" s="14">
        <v>1.0951899262592405E-2</v>
      </c>
      <c r="F24" s="16">
        <v>540</v>
      </c>
      <c r="G24" s="17">
        <v>29.4</v>
      </c>
      <c r="H24" s="15">
        <v>-86.400000000000077</v>
      </c>
      <c r="I24" s="14">
        <v>-6.2622309197651717E-3</v>
      </c>
      <c r="J24" s="15" t="s">
        <v>22</v>
      </c>
      <c r="K24" s="15">
        <v>-2165.3999999999987</v>
      </c>
      <c r="L24" s="14">
        <v>-0.13639455782312918</v>
      </c>
      <c r="M24" s="15">
        <v>13710.6</v>
      </c>
    </row>
    <row r="25" spans="1:13" x14ac:dyDescent="0.25">
      <c r="A25" s="1" t="s">
        <v>30</v>
      </c>
      <c r="B25" s="2">
        <v>164.92</v>
      </c>
      <c r="C25" s="3">
        <v>1.5099999999999909</v>
      </c>
      <c r="D25" s="4">
        <v>9.2405605532097645E-3</v>
      </c>
      <c r="E25" s="14">
        <v>2.3712580102228431E-2</v>
      </c>
      <c r="F25" s="16">
        <v>180</v>
      </c>
      <c r="G25" s="17">
        <v>164.54</v>
      </c>
      <c r="H25" s="15">
        <v>271.79999999999836</v>
      </c>
      <c r="I25" s="14">
        <v>9.2405605532096622E-3</v>
      </c>
      <c r="J25" s="15" t="s">
        <v>22</v>
      </c>
      <c r="K25" s="15">
        <v>68.399999999999181</v>
      </c>
      <c r="L25" s="14">
        <v>2.3094688221708733E-3</v>
      </c>
      <c r="M25" s="15">
        <v>29685.599999999999</v>
      </c>
    </row>
    <row r="26" spans="1:13" x14ac:dyDescent="0.25">
      <c r="A26" s="1" t="s">
        <v>31</v>
      </c>
      <c r="B26" s="2">
        <v>117.26</v>
      </c>
      <c r="C26" s="3">
        <v>4.2800000000000011</v>
      </c>
      <c r="D26" s="4">
        <v>3.7882811117011972E-2</v>
      </c>
      <c r="E26" s="14">
        <v>1.404992896953728E-2</v>
      </c>
      <c r="F26" s="16">
        <v>150</v>
      </c>
      <c r="G26" s="17">
        <v>98.82</v>
      </c>
      <c r="H26" s="15">
        <v>642.00000000000023</v>
      </c>
      <c r="I26" s="14">
        <v>3.7882811117011875E-2</v>
      </c>
      <c r="J26" s="15" t="s">
        <v>87</v>
      </c>
      <c r="K26" s="15">
        <v>2766.0000000000018</v>
      </c>
      <c r="L26" s="14">
        <v>0.18660190244889713</v>
      </c>
      <c r="M26" s="15">
        <v>17589</v>
      </c>
    </row>
    <row r="27" spans="1:13" x14ac:dyDescent="0.25">
      <c r="A27" s="1" t="s">
        <v>32</v>
      </c>
      <c r="B27" s="2">
        <v>577.89</v>
      </c>
      <c r="C27" s="3">
        <v>6.3099999999999454</v>
      </c>
      <c r="D27" s="4">
        <v>1.1039574512754058E-2</v>
      </c>
      <c r="E27" s="14">
        <v>3.231291953234481E-2</v>
      </c>
      <c r="F27" s="16">
        <v>70</v>
      </c>
      <c r="G27" s="17">
        <v>575.63</v>
      </c>
      <c r="H27" s="15">
        <v>441.69999999999618</v>
      </c>
      <c r="I27" s="14">
        <v>1.1039574512754023E-2</v>
      </c>
      <c r="J27" s="15" t="s">
        <v>88</v>
      </c>
      <c r="K27" s="15">
        <v>158.19999999999936</v>
      </c>
      <c r="L27" s="14">
        <v>3.9261331063356513E-3</v>
      </c>
      <c r="M27" s="15">
        <v>40452.299999999996</v>
      </c>
    </row>
    <row r="28" spans="1:13" x14ac:dyDescent="0.25">
      <c r="A28" s="1" t="s">
        <v>33</v>
      </c>
      <c r="B28" s="2">
        <v>9.31</v>
      </c>
      <c r="C28" s="3">
        <v>0.20000000000000107</v>
      </c>
      <c r="D28" s="4">
        <v>2.1953896816685026E-2</v>
      </c>
      <c r="E28" s="14">
        <v>2.5917042634133632E-2</v>
      </c>
      <c r="F28" s="16">
        <v>3485</v>
      </c>
      <c r="G28" s="17">
        <v>8.5352080344332855</v>
      </c>
      <c r="H28" s="15">
        <v>697.00000000000364</v>
      </c>
      <c r="I28" s="14">
        <v>2.1953896816685078E-2</v>
      </c>
      <c r="J28" s="15" t="s">
        <v>22</v>
      </c>
      <c r="K28" s="15">
        <v>2700.1500000000024</v>
      </c>
      <c r="L28" s="14">
        <v>9.0775990748087163E-2</v>
      </c>
      <c r="M28" s="15">
        <v>32445.350000000002</v>
      </c>
    </row>
    <row r="29" spans="1:13" ht="15" x14ac:dyDescent="0.25">
      <c r="A29" s="19">
        <v>46226</v>
      </c>
      <c r="B29" s="2">
        <v>9.31</v>
      </c>
      <c r="C29" s="3">
        <v>0.20000000000000107</v>
      </c>
      <c r="D29" s="4">
        <v>2.1953896816685026E-2</v>
      </c>
      <c r="E29" s="14">
        <v>1.4018256919753771E-2</v>
      </c>
      <c r="F29" s="16">
        <v>1885</v>
      </c>
      <c r="G29" s="17">
        <v>7.92</v>
      </c>
      <c r="H29" s="15">
        <v>377.00000000000199</v>
      </c>
      <c r="I29" s="14">
        <v>2.1953896816685078E-2</v>
      </c>
      <c r="J29" s="15" t="s">
        <v>22</v>
      </c>
      <c r="K29" s="15">
        <v>2620.150000000001</v>
      </c>
      <c r="L29" s="14">
        <v>0.17550505050505058</v>
      </c>
      <c r="M29" s="15">
        <v>17549.350000000002</v>
      </c>
    </row>
    <row r="30" spans="1:13" ht="15" x14ac:dyDescent="0.25">
      <c r="A30" s="19">
        <v>46244</v>
      </c>
      <c r="B30" s="2">
        <v>9.31</v>
      </c>
      <c r="C30" s="3">
        <v>0.20000000000000107</v>
      </c>
      <c r="D30" s="4">
        <v>2.1953896816685026E-2</v>
      </c>
      <c r="E30" s="14">
        <v>1.1898785714379858E-2</v>
      </c>
      <c r="F30" s="16">
        <v>1600</v>
      </c>
      <c r="G30" s="17">
        <v>9.26</v>
      </c>
      <c r="H30" s="15">
        <v>320.00000000000171</v>
      </c>
      <c r="I30" s="14">
        <v>2.1953896816685078E-2</v>
      </c>
      <c r="J30" s="15" t="s">
        <v>22</v>
      </c>
      <c r="K30" s="15">
        <v>80.000000000001137</v>
      </c>
      <c r="L30" s="14">
        <v>5.3995680345573227E-3</v>
      </c>
      <c r="M30" s="15">
        <v>14896</v>
      </c>
    </row>
    <row r="31" spans="1:13" ht="18.75" x14ac:dyDescent="0.25">
      <c r="A31" s="1" t="s">
        <v>34</v>
      </c>
      <c r="B31" s="2">
        <v>151.05000000000001</v>
      </c>
      <c r="C31" s="3">
        <v>4.0300000000000011</v>
      </c>
      <c r="D31" s="4">
        <v>2.7411236566453612E-2</v>
      </c>
      <c r="E31" s="14">
        <v>0.10738502337001872</v>
      </c>
      <c r="F31" s="16">
        <v>890</v>
      </c>
      <c r="G31" s="17">
        <v>84</v>
      </c>
      <c r="H31" s="15">
        <v>3586.7000000000012</v>
      </c>
      <c r="I31" s="14">
        <v>2.7411236566453553E-2</v>
      </c>
      <c r="J31" s="15" t="s">
        <v>89</v>
      </c>
      <c r="K31" s="15">
        <v>59674.500000000007</v>
      </c>
      <c r="L31" s="14">
        <v>0.79821428571428588</v>
      </c>
      <c r="M31" s="15">
        <v>134434.5</v>
      </c>
    </row>
    <row r="32" spans="1:13" ht="15" x14ac:dyDescent="0.25">
      <c r="A32" s="19">
        <v>44931</v>
      </c>
      <c r="B32" s="2">
        <v>151.05000000000001</v>
      </c>
      <c r="C32" s="3">
        <v>4.0300000000000011</v>
      </c>
      <c r="D32" s="4">
        <v>2.7411236566453612E-2</v>
      </c>
      <c r="E32" s="14">
        <v>5.369251168500936E-2</v>
      </c>
      <c r="F32" s="16">
        <v>445</v>
      </c>
      <c r="G32" s="17">
        <v>84</v>
      </c>
      <c r="H32" s="15">
        <v>1793.3500000000006</v>
      </c>
      <c r="I32" s="14">
        <v>2.7411236566453549E-2</v>
      </c>
      <c r="J32" s="15" t="s">
        <v>90</v>
      </c>
      <c r="K32" s="15">
        <v>29837.250000000004</v>
      </c>
      <c r="L32" s="14">
        <v>0.79821428571428588</v>
      </c>
      <c r="M32" s="15">
        <v>67217.25</v>
      </c>
    </row>
    <row r="33" spans="1:13" ht="15" x14ac:dyDescent="0.25">
      <c r="A33" s="19">
        <v>46034</v>
      </c>
      <c r="B33" s="2">
        <v>151.05000000000001</v>
      </c>
      <c r="C33" s="3">
        <v>4.0300000000000011</v>
      </c>
      <c r="D33" s="4">
        <v>2.7411236566453612E-2</v>
      </c>
      <c r="E33" s="14">
        <v>5.369251168500936E-2</v>
      </c>
      <c r="F33" s="16">
        <v>445</v>
      </c>
      <c r="G33" s="17">
        <v>84</v>
      </c>
      <c r="H33" s="15">
        <v>1793.3500000000006</v>
      </c>
      <c r="I33" s="14">
        <v>2.7411236566453549E-2</v>
      </c>
      <c r="J33" s="15" t="s">
        <v>90</v>
      </c>
      <c r="K33" s="15">
        <v>29837.250000000004</v>
      </c>
      <c r="L33" s="14">
        <v>0.79821428571428588</v>
      </c>
      <c r="M33" s="15">
        <v>67217.25</v>
      </c>
    </row>
    <row r="34" spans="1:13" ht="18.75" x14ac:dyDescent="0.25">
      <c r="A34" s="1" t="s">
        <v>35</v>
      </c>
      <c r="B34" s="2">
        <v>51.8</v>
      </c>
      <c r="C34" s="3">
        <v>0.57999999999999829</v>
      </c>
      <c r="D34" s="4">
        <v>1.1323701679031517E-2</v>
      </c>
      <c r="E34" s="14">
        <v>1.6550942535039651E-2</v>
      </c>
      <c r="F34" s="16">
        <v>400</v>
      </c>
      <c r="G34" s="17">
        <v>50.05</v>
      </c>
      <c r="H34" s="15">
        <v>231.99999999999932</v>
      </c>
      <c r="I34" s="14">
        <v>1.1323701679031595E-2</v>
      </c>
      <c r="J34" s="15" t="s">
        <v>91</v>
      </c>
      <c r="K34" s="15">
        <v>700</v>
      </c>
      <c r="L34" s="14">
        <v>3.4965034965034968E-2</v>
      </c>
      <c r="M34" s="15">
        <v>20720</v>
      </c>
    </row>
    <row r="35" spans="1:13" ht="18.75" x14ac:dyDescent="0.25">
      <c r="A35" s="1" t="s">
        <v>36</v>
      </c>
      <c r="B35" s="2">
        <v>186</v>
      </c>
      <c r="C35" s="3">
        <v>-3.5699999999999932</v>
      </c>
      <c r="D35" s="4">
        <v>-1.8832093685709705E-2</v>
      </c>
      <c r="E35" s="14">
        <v>3.6400890507806802E-2</v>
      </c>
      <c r="F35" s="16">
        <v>245</v>
      </c>
      <c r="G35" s="17">
        <v>163.07285714285715</v>
      </c>
      <c r="H35" s="15">
        <v>-874.64999999999827</v>
      </c>
      <c r="I35" s="14">
        <v>-1.883209368570973E-2</v>
      </c>
      <c r="J35" s="15" t="s">
        <v>92</v>
      </c>
      <c r="K35" s="15">
        <v>5617.15</v>
      </c>
      <c r="L35" s="14">
        <v>0.14059447573827649</v>
      </c>
      <c r="M35" s="15">
        <v>45570</v>
      </c>
    </row>
    <row r="36" spans="1:13" ht="15" x14ac:dyDescent="0.25">
      <c r="A36" s="19">
        <v>46008</v>
      </c>
      <c r="B36" s="2">
        <v>186</v>
      </c>
      <c r="C36" s="3">
        <v>-3.5699999999999932</v>
      </c>
      <c r="D36" s="4">
        <v>-1.8832093685709705E-2</v>
      </c>
      <c r="E36" s="14">
        <v>2.8229262026462417E-2</v>
      </c>
      <c r="F36" s="16">
        <v>190</v>
      </c>
      <c r="G36" s="17">
        <v>157.4</v>
      </c>
      <c r="H36" s="15">
        <v>-678.2999999999987</v>
      </c>
      <c r="I36" s="14">
        <v>-1.883209368570973E-2</v>
      </c>
      <c r="J36" s="15" t="s">
        <v>93</v>
      </c>
      <c r="K36" s="15">
        <v>5433.9999999999991</v>
      </c>
      <c r="L36" s="14">
        <v>0.18170266836086402</v>
      </c>
      <c r="M36" s="15">
        <v>35340</v>
      </c>
    </row>
    <row r="37" spans="1:13" ht="15" x14ac:dyDescent="0.25">
      <c r="A37" s="19">
        <v>46071</v>
      </c>
      <c r="B37" s="2">
        <v>186</v>
      </c>
      <c r="C37" s="3">
        <v>-3.5699999999999932</v>
      </c>
      <c r="D37" s="4">
        <v>-1.8832093685709705E-2</v>
      </c>
      <c r="E37" s="14">
        <v>8.1716284813443847E-3</v>
      </c>
      <c r="F37" s="16">
        <v>55</v>
      </c>
      <c r="G37" s="17">
        <v>182.67</v>
      </c>
      <c r="H37" s="15">
        <v>-196.34999999999962</v>
      </c>
      <c r="I37" s="14">
        <v>-1.883209368570973E-2</v>
      </c>
      <c r="J37" s="15" t="s">
        <v>94</v>
      </c>
      <c r="K37" s="15">
        <v>183.15000000000069</v>
      </c>
      <c r="L37" s="14">
        <v>1.8229594350468226E-2</v>
      </c>
      <c r="M37" s="15">
        <v>10230</v>
      </c>
    </row>
    <row r="38" spans="1:13" ht="18.75" x14ac:dyDescent="0.25">
      <c r="A38" s="1" t="s">
        <v>37</v>
      </c>
      <c r="B38" s="2">
        <v>184.02</v>
      </c>
      <c r="C38" s="3">
        <v>0.24000000000000909</v>
      </c>
      <c r="D38" s="4">
        <v>1.3059092393079563E-3</v>
      </c>
      <c r="E38" s="14">
        <v>7.2761761603402919E-2</v>
      </c>
      <c r="F38" s="16">
        <v>495</v>
      </c>
      <c r="G38" s="17">
        <v>147.08404040404039</v>
      </c>
      <c r="H38" s="15">
        <v>118.8000000000045</v>
      </c>
      <c r="I38" s="14">
        <v>1.3059092393079175E-3</v>
      </c>
      <c r="J38" s="15" t="s">
        <v>95</v>
      </c>
      <c r="K38" s="15">
        <v>18283.300000000003</v>
      </c>
      <c r="L38" s="14">
        <v>0.25112146426285537</v>
      </c>
      <c r="M38" s="15">
        <v>91089.9</v>
      </c>
    </row>
    <row r="39" spans="1:13" ht="15" x14ac:dyDescent="0.25">
      <c r="A39" s="19">
        <v>45415</v>
      </c>
      <c r="B39" s="2">
        <v>184.02</v>
      </c>
      <c r="C39" s="3">
        <v>0.24000000000000909</v>
      </c>
      <c r="D39" s="4">
        <v>1.3059092393079563E-3</v>
      </c>
      <c r="E39" s="14">
        <v>1.4699345778465236E-2</v>
      </c>
      <c r="F39" s="16">
        <v>100</v>
      </c>
      <c r="G39" s="17">
        <v>102.351</v>
      </c>
      <c r="H39" s="15">
        <v>24.000000000000909</v>
      </c>
      <c r="I39" s="14">
        <v>1.3059092393079175E-3</v>
      </c>
      <c r="J39" s="15" t="s">
        <v>96</v>
      </c>
      <c r="K39" s="15">
        <v>8166.9000000000015</v>
      </c>
      <c r="L39" s="14">
        <v>0.79793065040888711</v>
      </c>
      <c r="M39" s="15">
        <v>18402</v>
      </c>
    </row>
    <row r="40" spans="1:13" ht="15" x14ac:dyDescent="0.25">
      <c r="A40" s="19">
        <v>45569</v>
      </c>
      <c r="B40" s="2">
        <v>184.02</v>
      </c>
      <c r="C40" s="3">
        <v>0.24000000000000909</v>
      </c>
      <c r="D40" s="4">
        <v>1.3059092393079563E-3</v>
      </c>
      <c r="E40" s="14">
        <v>1.4699345778465236E-2</v>
      </c>
      <c r="F40" s="16">
        <v>100</v>
      </c>
      <c r="G40" s="17">
        <v>116.11</v>
      </c>
      <c r="H40" s="15">
        <v>24.000000000000909</v>
      </c>
      <c r="I40" s="14">
        <v>1.3059092393079175E-3</v>
      </c>
      <c r="J40" s="15" t="s">
        <v>96</v>
      </c>
      <c r="K40" s="15">
        <v>6791.0000000000009</v>
      </c>
      <c r="L40" s="14">
        <v>0.58487641030057702</v>
      </c>
      <c r="M40" s="15">
        <v>18402</v>
      </c>
    </row>
    <row r="41" spans="1:13" ht="15" x14ac:dyDescent="0.25">
      <c r="A41" s="19">
        <v>46071</v>
      </c>
      <c r="B41" s="2">
        <v>184.02</v>
      </c>
      <c r="C41" s="3">
        <v>0.24000000000000909</v>
      </c>
      <c r="D41" s="4">
        <v>1.3059092393079563E-3</v>
      </c>
      <c r="E41" s="14">
        <v>1.6904247645235026E-2</v>
      </c>
      <c r="F41" s="16">
        <v>115</v>
      </c>
      <c r="G41" s="17">
        <v>178.3</v>
      </c>
      <c r="H41" s="15">
        <v>27.600000000001046</v>
      </c>
      <c r="I41" s="14">
        <v>1.3059092393079175E-3</v>
      </c>
      <c r="J41" s="15" t="s">
        <v>97</v>
      </c>
      <c r="K41" s="15">
        <v>657.79999999999984</v>
      </c>
      <c r="L41" s="14">
        <v>3.2080762759394421E-2</v>
      </c>
      <c r="M41" s="15">
        <v>21162.300000000003</v>
      </c>
    </row>
    <row r="42" spans="1:13" ht="15" x14ac:dyDescent="0.25">
      <c r="A42" s="19">
        <v>46107</v>
      </c>
      <c r="B42" s="2">
        <v>184.02</v>
      </c>
      <c r="C42" s="3">
        <v>0.24000000000000909</v>
      </c>
      <c r="D42" s="4">
        <v>1.3059092393079563E-3</v>
      </c>
      <c r="E42" s="14">
        <v>2.6458822401237425E-2</v>
      </c>
      <c r="F42" s="16">
        <v>180</v>
      </c>
      <c r="G42" s="17">
        <v>169.2</v>
      </c>
      <c r="H42" s="15">
        <v>43.200000000001637</v>
      </c>
      <c r="I42" s="14">
        <v>1.3059092393079175E-3</v>
      </c>
      <c r="J42" s="15" t="s">
        <v>98</v>
      </c>
      <c r="K42" s="15">
        <v>2667.600000000004</v>
      </c>
      <c r="L42" s="14">
        <v>8.7588652482269533E-2</v>
      </c>
      <c r="M42" s="15">
        <v>33123.599999999999</v>
      </c>
    </row>
    <row r="43" spans="1:13" ht="18.75" x14ac:dyDescent="0.25">
      <c r="A43" s="1" t="s">
        <v>38</v>
      </c>
      <c r="B43" s="2">
        <v>21.23</v>
      </c>
      <c r="C43" s="3">
        <v>1.0800000000000018</v>
      </c>
      <c r="D43" s="4">
        <v>5.3598014888337486E-2</v>
      </c>
      <c r="E43" s="14">
        <v>1.2209994556641028E-2</v>
      </c>
      <c r="F43" s="16">
        <v>720</v>
      </c>
      <c r="G43" s="17">
        <v>22.31</v>
      </c>
      <c r="H43" s="15">
        <v>777.60000000000127</v>
      </c>
      <c r="I43" s="14">
        <v>5.359801488833757E-2</v>
      </c>
      <c r="J43" s="15" t="s">
        <v>99</v>
      </c>
      <c r="K43" s="15">
        <v>-777.59999999999877</v>
      </c>
      <c r="L43" s="14">
        <v>-4.8408785298072542E-2</v>
      </c>
      <c r="M43" s="15">
        <v>15285.6</v>
      </c>
    </row>
    <row r="44" spans="1:13" ht="18.75" x14ac:dyDescent="0.25">
      <c r="A44" s="1" t="s">
        <v>39</v>
      </c>
      <c r="B44" s="2">
        <v>33.47</v>
      </c>
      <c r="C44" s="3">
        <v>-0.17000000000000171</v>
      </c>
      <c r="D44" s="4">
        <v>-5.0535077288942354E-3</v>
      </c>
      <c r="E44" s="14">
        <v>8.8227227506644038E-2</v>
      </c>
      <c r="F44" s="16">
        <v>3300</v>
      </c>
      <c r="G44" s="17">
        <v>28.290909090909089</v>
      </c>
      <c r="H44" s="15">
        <v>-561.00000000000568</v>
      </c>
      <c r="I44" s="14">
        <v>-5.053507728894225E-3</v>
      </c>
      <c r="J44" s="15" t="s">
        <v>100</v>
      </c>
      <c r="K44" s="15">
        <v>17091</v>
      </c>
      <c r="L44" s="14">
        <v>0.18306555269922878</v>
      </c>
      <c r="M44" s="15">
        <v>110451</v>
      </c>
    </row>
    <row r="45" spans="1:13" ht="15" x14ac:dyDescent="0.25">
      <c r="A45" s="19">
        <v>45905</v>
      </c>
      <c r="B45" s="2">
        <v>33.47</v>
      </c>
      <c r="C45" s="3">
        <v>-0.17000000000000171</v>
      </c>
      <c r="D45" s="4">
        <v>-5.0535077288942354E-3</v>
      </c>
      <c r="E45" s="14">
        <v>4.0103285230292746E-2</v>
      </c>
      <c r="F45" s="16">
        <v>1500</v>
      </c>
      <c r="G45" s="17">
        <v>28.16</v>
      </c>
      <c r="H45" s="15">
        <v>-255.00000000000256</v>
      </c>
      <c r="I45" s="14">
        <v>-5.0535077288942241E-3</v>
      </c>
      <c r="J45" s="15" t="s">
        <v>101</v>
      </c>
      <c r="K45" s="15">
        <v>7964.9999999999982</v>
      </c>
      <c r="L45" s="14">
        <v>0.18856534090909083</v>
      </c>
      <c r="M45" s="15">
        <v>50205</v>
      </c>
    </row>
    <row r="46" spans="1:13" ht="15" x14ac:dyDescent="0.25">
      <c r="A46" s="19">
        <v>45950</v>
      </c>
      <c r="B46" s="2">
        <v>33.47</v>
      </c>
      <c r="C46" s="3">
        <v>-0.17000000000000171</v>
      </c>
      <c r="D46" s="4">
        <v>-5.0535077288942354E-3</v>
      </c>
      <c r="E46" s="14">
        <v>4.8123942276351299E-2</v>
      </c>
      <c r="F46" s="16">
        <v>1800</v>
      </c>
      <c r="G46" s="17">
        <v>28.4</v>
      </c>
      <c r="H46" s="15">
        <v>-306.00000000000307</v>
      </c>
      <c r="I46" s="14">
        <v>-5.0535077288942241E-3</v>
      </c>
      <c r="J46" s="15" t="s">
        <v>102</v>
      </c>
      <c r="K46" s="15">
        <v>9126</v>
      </c>
      <c r="L46" s="14">
        <v>0.17852112676056328</v>
      </c>
      <c r="M46" s="15">
        <v>60246</v>
      </c>
    </row>
    <row r="47" spans="1:13" ht="18.75" x14ac:dyDescent="0.25">
      <c r="A47" s="1" t="s">
        <v>40</v>
      </c>
      <c r="B47" s="2">
        <v>39.369999999999997</v>
      </c>
      <c r="C47" s="3">
        <v>-0.27000000000000313</v>
      </c>
      <c r="D47" s="4">
        <v>-6.8113017154389777E-3</v>
      </c>
      <c r="E47" s="14">
        <v>1.1321419823244401E-2</v>
      </c>
      <c r="F47" s="16">
        <v>360</v>
      </c>
      <c r="G47" s="17">
        <v>42.23</v>
      </c>
      <c r="H47" s="15">
        <v>-97.200000000001125</v>
      </c>
      <c r="I47" s="14">
        <v>-6.8113017154390297E-3</v>
      </c>
      <c r="J47" s="15" t="s">
        <v>22</v>
      </c>
      <c r="K47" s="15">
        <v>-1029.5999999999999</v>
      </c>
      <c r="L47" s="14">
        <v>-6.7724366564053992E-2</v>
      </c>
      <c r="M47" s="15">
        <v>14173.199999999999</v>
      </c>
    </row>
    <row r="48" spans="1:13" ht="18.75" x14ac:dyDescent="0.25">
      <c r="A48" s="1" t="s">
        <v>41</v>
      </c>
      <c r="B48" s="2">
        <v>19.04</v>
      </c>
      <c r="C48" s="3">
        <v>-0.28999999999999915</v>
      </c>
      <c r="D48" s="4">
        <v>-1.500258665287113E-2</v>
      </c>
      <c r="E48" s="14">
        <v>1.079837169718533E-2</v>
      </c>
      <c r="F48" s="16">
        <v>710</v>
      </c>
      <c r="G48" s="17">
        <v>28.35</v>
      </c>
      <c r="H48" s="15">
        <v>-205.89999999999941</v>
      </c>
      <c r="I48" s="14">
        <v>-1.5002586652871141E-2</v>
      </c>
      <c r="J48" s="15" t="s">
        <v>22</v>
      </c>
      <c r="K48" s="15">
        <v>-6610.1000000000013</v>
      </c>
      <c r="L48" s="14">
        <v>-0.32839506172839511</v>
      </c>
      <c r="M48" s="15">
        <v>13518.4</v>
      </c>
    </row>
    <row r="49" spans="1:13" ht="18.75" x14ac:dyDescent="0.25">
      <c r="A49" s="20" t="s">
        <v>103</v>
      </c>
      <c r="B49" s="2" t="s">
        <v>22</v>
      </c>
      <c r="C49" s="3" t="s">
        <v>22</v>
      </c>
      <c r="D49" s="4">
        <v>5.2813604687435688E-3</v>
      </c>
      <c r="E49" s="14" t="s">
        <v>104</v>
      </c>
      <c r="F49" s="16" t="s">
        <v>22</v>
      </c>
      <c r="G49" s="17" t="s">
        <v>22</v>
      </c>
      <c r="H49" s="15">
        <v>6576.9600000000273</v>
      </c>
      <c r="I49" s="14">
        <v>5.2813604687435688E-3</v>
      </c>
      <c r="J49" s="15" t="s">
        <v>105</v>
      </c>
      <c r="K49" s="15">
        <v>218330.59000000003</v>
      </c>
      <c r="L49" s="14">
        <v>0.21124095078353611</v>
      </c>
      <c r="M49" s="15">
        <v>1251892.45</v>
      </c>
    </row>
  </sheetData>
  <conditionalFormatting sqref="B2:B49">
    <cfRule type="cellIs" dxfId="592" priority="1" operator="between">
      <formula>-9995</formula>
      <formula>9995</formula>
    </cfRule>
    <cfRule type="cellIs" dxfId="591" priority="2" operator="greaterThan">
      <formula>999999950000</formula>
    </cfRule>
    <cfRule type="cellIs" dxfId="590" priority="3" operator="greaterThan">
      <formula>999995000</formula>
    </cfRule>
    <cfRule type="cellIs" dxfId="589" priority="4" operator="greaterThan">
      <formula>999500</formula>
    </cfRule>
    <cfRule type="cellIs" dxfId="588" priority="5" operator="greaterThan">
      <formula>9995</formula>
    </cfRule>
    <cfRule type="cellIs" dxfId="587" priority="6" operator="lessThan">
      <formula>-999999950000</formula>
    </cfRule>
    <cfRule type="cellIs" dxfId="586" priority="7" operator="lessThan">
      <formula>-999995000</formula>
    </cfRule>
    <cfRule type="cellIs" dxfId="585" priority="8" operator="lessThan">
      <formula>-999500</formula>
    </cfRule>
    <cfRule type="cellIs" dxfId="584" priority="9" operator="lessThan">
      <formula>-9995</formula>
    </cfRule>
  </conditionalFormatting>
  <conditionalFormatting sqref="C2:C49">
    <cfRule type="cellIs" dxfId="583" priority="10" operator="greaterThan">
      <formula>0</formula>
    </cfRule>
    <cfRule type="cellIs" dxfId="582" priority="11" operator="lessThan">
      <formula>0</formula>
    </cfRule>
  </conditionalFormatting>
  <conditionalFormatting sqref="D2:D49">
    <cfRule type="cellIs" dxfId="581" priority="12" operator="greaterThan">
      <formula>0</formula>
    </cfRule>
    <cfRule type="cellIs" dxfId="580" priority="13" operator="lessThan">
      <formula>0</formula>
    </cfRule>
  </conditionalFormatting>
  <conditionalFormatting sqref="G2:G49">
    <cfRule type="cellIs" dxfId="579" priority="14" operator="between">
      <formula>-9995</formula>
      <formula>9995</formula>
    </cfRule>
    <cfRule type="cellIs" dxfId="578" priority="15" operator="greaterThan">
      <formula>999999950000</formula>
    </cfRule>
    <cfRule type="cellIs" dxfId="577" priority="16" operator="greaterThan">
      <formula>999995000</formula>
    </cfRule>
    <cfRule type="cellIs" dxfId="576" priority="17" operator="greaterThan">
      <formula>999500</formula>
    </cfRule>
    <cfRule type="cellIs" dxfId="575" priority="18" operator="greaterThan">
      <formula>9995</formula>
    </cfRule>
    <cfRule type="cellIs" dxfId="574" priority="19" operator="lessThan">
      <formula>-999999950000</formula>
    </cfRule>
    <cfRule type="cellIs" dxfId="573" priority="20" operator="lessThan">
      <formula>-999995000</formula>
    </cfRule>
    <cfRule type="cellIs" dxfId="572" priority="21" operator="lessThan">
      <formula>-999500</formula>
    </cfRule>
    <cfRule type="cellIs" dxfId="571" priority="22" operator="lessThan">
      <formula>-9995</formula>
    </cfRule>
  </conditionalFormatting>
  <conditionalFormatting sqref="H2:H49">
    <cfRule type="cellIs" dxfId="570" priority="23" operator="between">
      <formula>-9995</formula>
      <formula>9995</formula>
    </cfRule>
    <cfRule type="cellIs" dxfId="569" priority="24" operator="greaterThan">
      <formula>999999950000</formula>
    </cfRule>
    <cfRule type="cellIs" dxfId="568" priority="25" operator="greaterThan">
      <formula>999995000</formula>
    </cfRule>
    <cfRule type="cellIs" dxfId="567" priority="26" operator="greaterThan">
      <formula>999500</formula>
    </cfRule>
    <cfRule type="cellIs" dxfId="566" priority="27" operator="greaterThan">
      <formula>9995</formula>
    </cfRule>
    <cfRule type="cellIs" dxfId="565" priority="28" operator="lessThan">
      <formula>-999999950000</formula>
    </cfRule>
    <cfRule type="cellIs" dxfId="564" priority="29" operator="lessThan">
      <formula>-999995000</formula>
    </cfRule>
    <cfRule type="cellIs" dxfId="563" priority="30" operator="lessThan">
      <formula>-999500</formula>
    </cfRule>
    <cfRule type="cellIs" dxfId="562" priority="31" operator="lessThan">
      <formula>-9995</formula>
    </cfRule>
    <cfRule type="cellIs" dxfId="561" priority="32" operator="greaterThan">
      <formula>0</formula>
    </cfRule>
    <cfRule type="cellIs" dxfId="560" priority="33" operator="lessThan">
      <formula>0</formula>
    </cfRule>
  </conditionalFormatting>
  <conditionalFormatting sqref="I2:I49">
    <cfRule type="cellIs" dxfId="559" priority="34" operator="greaterThan">
      <formula>0</formula>
    </cfRule>
    <cfRule type="cellIs" dxfId="558" priority="35" operator="lessThan">
      <formula>0</formula>
    </cfRule>
  </conditionalFormatting>
  <conditionalFormatting sqref="K2:K49">
    <cfRule type="cellIs" dxfId="557" priority="36" operator="between">
      <formula>-9995</formula>
      <formula>9995</formula>
    </cfRule>
    <cfRule type="cellIs" dxfId="556" priority="37" operator="greaterThan">
      <formula>999999950000</formula>
    </cfRule>
    <cfRule type="cellIs" dxfId="555" priority="38" operator="greaterThan">
      <formula>999995000</formula>
    </cfRule>
    <cfRule type="cellIs" dxfId="554" priority="39" operator="greaterThan">
      <formula>999500</formula>
    </cfRule>
    <cfRule type="cellIs" dxfId="553" priority="40" operator="greaterThan">
      <formula>9995</formula>
    </cfRule>
    <cfRule type="cellIs" dxfId="552" priority="41" operator="lessThan">
      <formula>-999999950000</formula>
    </cfRule>
    <cfRule type="cellIs" dxfId="551" priority="42" operator="lessThan">
      <formula>-999995000</formula>
    </cfRule>
    <cfRule type="cellIs" dxfId="550" priority="43" operator="lessThan">
      <formula>-999500</formula>
    </cfRule>
    <cfRule type="cellIs" dxfId="549" priority="44" operator="lessThan">
      <formula>-9995</formula>
    </cfRule>
    <cfRule type="cellIs" dxfId="548" priority="45" operator="greaterThan">
      <formula>0</formula>
    </cfRule>
    <cfRule type="cellIs" dxfId="547" priority="46" operator="lessThan">
      <formula>0</formula>
    </cfRule>
  </conditionalFormatting>
  <conditionalFormatting sqref="L2:L49">
    <cfRule type="cellIs" dxfId="546" priority="47" operator="greaterThan">
      <formula>0</formula>
    </cfRule>
    <cfRule type="cellIs" dxfId="545" priority="48" operator="lessThan">
      <formula>0</formula>
    </cfRule>
  </conditionalFormatting>
  <conditionalFormatting sqref="M2:M49">
    <cfRule type="cellIs" dxfId="544" priority="49" operator="between">
      <formula>-9995</formula>
      <formula>9995</formula>
    </cfRule>
    <cfRule type="cellIs" dxfId="543" priority="50" operator="greaterThan">
      <formula>999999950000</formula>
    </cfRule>
    <cfRule type="cellIs" dxfId="542" priority="51" operator="greaterThan">
      <formula>999995000</formula>
    </cfRule>
    <cfRule type="cellIs" dxfId="541" priority="52" operator="greaterThan">
      <formula>999500</formula>
    </cfRule>
    <cfRule type="cellIs" dxfId="540" priority="53" operator="greaterThan">
      <formula>9995</formula>
    </cfRule>
    <cfRule type="cellIs" dxfId="539" priority="54" operator="lessThan">
      <formula>-999999950000</formula>
    </cfRule>
    <cfRule type="cellIs" dxfId="538" priority="55" operator="lessThan">
      <formula>-999995000</formula>
    </cfRule>
    <cfRule type="cellIs" dxfId="537" priority="56" operator="lessThan">
      <formula>-999500</formula>
    </cfRule>
    <cfRule type="cellIs" dxfId="536" priority="57" operator="lessThan">
      <formula>-9995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workbookViewId="0"/>
  </sheetViews>
  <sheetFormatPr defaultColWidth="15" defaultRowHeight="20.100000000000001" customHeight="1" x14ac:dyDescent="0.25"/>
  <cols>
    <col min="1" max="1" width="20" style="1" customWidth="1"/>
    <col min="2" max="5" width="15" style="6" customWidth="1"/>
    <col min="6" max="9" width="15" style="15" customWidth="1"/>
    <col min="10" max="20" width="15" style="14" customWidth="1"/>
    <col min="21" max="21" width="15" style="5" customWidth="1"/>
  </cols>
  <sheetData>
    <row r="1" spans="1:21" s="7" customFormat="1" ht="20.100000000000001" customHeight="1" x14ac:dyDescent="0.2">
      <c r="A1" s="8" t="s">
        <v>0</v>
      </c>
      <c r="B1" s="13" t="s">
        <v>106</v>
      </c>
      <c r="C1" s="13" t="s">
        <v>107</v>
      </c>
      <c r="D1" s="13" t="s">
        <v>108</v>
      </c>
      <c r="E1" s="13" t="s">
        <v>109</v>
      </c>
      <c r="F1" s="9" t="s">
        <v>110</v>
      </c>
      <c r="G1" s="9" t="s">
        <v>111</v>
      </c>
      <c r="H1" s="9" t="s">
        <v>112</v>
      </c>
      <c r="I1" s="9" t="s">
        <v>71</v>
      </c>
      <c r="J1" s="11" t="s">
        <v>113</v>
      </c>
      <c r="K1" s="11" t="s">
        <v>114</v>
      </c>
      <c r="L1" s="11" t="s">
        <v>115</v>
      </c>
      <c r="M1" s="9" t="s">
        <v>116</v>
      </c>
      <c r="N1" s="9" t="s">
        <v>117</v>
      </c>
      <c r="O1" s="11" t="s">
        <v>118</v>
      </c>
      <c r="P1" s="11" t="s">
        <v>119</v>
      </c>
      <c r="Q1" s="11" t="s">
        <v>120</v>
      </c>
      <c r="R1" s="11" t="s">
        <v>121</v>
      </c>
      <c r="S1" s="9" t="s">
        <v>122</v>
      </c>
      <c r="T1" s="9" t="s">
        <v>123</v>
      </c>
      <c r="U1" s="12" t="s">
        <v>124</v>
      </c>
    </row>
    <row r="2" spans="1:21" x14ac:dyDescent="0.25">
      <c r="A2" s="1" t="s">
        <v>16</v>
      </c>
      <c r="B2" s="6" t="s">
        <v>61</v>
      </c>
      <c r="C2" s="6" t="s">
        <v>63</v>
      </c>
      <c r="D2" s="6" t="s">
        <v>59</v>
      </c>
      <c r="E2" s="6" t="s">
        <v>64</v>
      </c>
      <c r="F2" s="15" t="s">
        <v>125</v>
      </c>
      <c r="G2" s="15" t="s">
        <v>126</v>
      </c>
      <c r="H2" s="15" t="s">
        <v>127</v>
      </c>
      <c r="I2" s="15" t="s">
        <v>75</v>
      </c>
      <c r="J2" s="14">
        <v>9.506767000000001E-3</v>
      </c>
      <c r="K2" s="14">
        <v>1.0065988E-2</v>
      </c>
      <c r="L2" s="14">
        <v>2.1973566999999999E-2</v>
      </c>
      <c r="M2" s="15">
        <v>1.7</v>
      </c>
      <c r="N2" s="15">
        <v>1.8</v>
      </c>
      <c r="O2" s="14">
        <v>0.15030946065428819</v>
      </c>
      <c r="P2" s="14">
        <v>0.47925243679723101</v>
      </c>
      <c r="Q2" s="14">
        <v>2.0413775479336982E-2</v>
      </c>
      <c r="R2" s="14">
        <v>6.342724238285391E-2</v>
      </c>
      <c r="S2" s="15" t="s">
        <v>128</v>
      </c>
      <c r="T2" s="15" t="s">
        <v>129</v>
      </c>
      <c r="U2" s="5">
        <v>0.75545799999999996</v>
      </c>
    </row>
    <row r="3" spans="1:21" x14ac:dyDescent="0.25">
      <c r="A3" s="1" t="s">
        <v>17</v>
      </c>
      <c r="B3" s="6" t="s">
        <v>22</v>
      </c>
      <c r="C3" s="6" t="s">
        <v>22</v>
      </c>
      <c r="D3" s="6" t="s">
        <v>22</v>
      </c>
      <c r="E3" s="6" t="s">
        <v>22</v>
      </c>
      <c r="F3" s="15" t="s">
        <v>22</v>
      </c>
      <c r="G3" s="15" t="s">
        <v>22</v>
      </c>
      <c r="H3" s="15" t="s">
        <v>22</v>
      </c>
      <c r="I3" s="15" t="s">
        <v>22</v>
      </c>
      <c r="J3" s="14" t="s">
        <v>22</v>
      </c>
      <c r="K3" s="14" t="s">
        <v>22</v>
      </c>
      <c r="L3" s="14" t="s">
        <v>22</v>
      </c>
      <c r="M3" s="15" t="s">
        <v>22</v>
      </c>
      <c r="N3" s="15" t="s">
        <v>22</v>
      </c>
      <c r="O3" s="14" t="s">
        <v>22</v>
      </c>
      <c r="P3" s="14" t="s">
        <v>22</v>
      </c>
      <c r="Q3" s="14" t="s">
        <v>22</v>
      </c>
      <c r="R3" s="14" t="s">
        <v>22</v>
      </c>
      <c r="S3" s="15" t="s">
        <v>22</v>
      </c>
      <c r="T3" s="15" t="s">
        <v>22</v>
      </c>
      <c r="U3" s="5">
        <v>2.076419</v>
      </c>
    </row>
    <row r="4" spans="1:21" x14ac:dyDescent="0.25">
      <c r="A4" s="1" t="s">
        <v>18</v>
      </c>
      <c r="B4" s="6" t="s">
        <v>61</v>
      </c>
      <c r="C4" s="6" t="s">
        <v>57</v>
      </c>
      <c r="D4" s="6" t="s">
        <v>60</v>
      </c>
      <c r="E4" s="6" t="s">
        <v>19</v>
      </c>
      <c r="F4" s="15" t="s">
        <v>130</v>
      </c>
      <c r="G4" s="15" t="s">
        <v>131</v>
      </c>
      <c r="H4" s="15" t="s">
        <v>127</v>
      </c>
      <c r="I4" s="15" t="s">
        <v>76</v>
      </c>
      <c r="J4" s="14">
        <v>5.2134879999999996E-3</v>
      </c>
      <c r="K4" s="14">
        <v>4.9115688000000001E-3</v>
      </c>
      <c r="L4" s="14">
        <v>8.9596850000000002E-3</v>
      </c>
      <c r="M4" s="15">
        <v>9.0766299999999998</v>
      </c>
      <c r="N4" s="15">
        <v>8.5509920000000008</v>
      </c>
      <c r="O4" s="14">
        <v>0.1518171023583631</v>
      </c>
      <c r="P4" s="14">
        <v>0.3219716812807269</v>
      </c>
      <c r="Q4" s="14">
        <v>0.13167018210129672</v>
      </c>
      <c r="R4" s="14">
        <v>0.22686550872437292</v>
      </c>
      <c r="S4" s="15" t="s">
        <v>132</v>
      </c>
      <c r="T4" s="15" t="s">
        <v>133</v>
      </c>
      <c r="U4" s="5">
        <v>1.0658529999999999</v>
      </c>
    </row>
    <row r="5" spans="1:21" x14ac:dyDescent="0.25">
      <c r="A5" s="1" t="s">
        <v>19</v>
      </c>
      <c r="B5" s="6" t="s">
        <v>61</v>
      </c>
      <c r="C5" s="6" t="s">
        <v>66</v>
      </c>
      <c r="D5" s="6" t="s">
        <v>65</v>
      </c>
      <c r="E5" s="6" t="s">
        <v>19</v>
      </c>
      <c r="F5" s="15" t="s">
        <v>134</v>
      </c>
      <c r="G5" s="15" t="s">
        <v>135</v>
      </c>
      <c r="H5" s="15" t="s">
        <v>127</v>
      </c>
      <c r="I5" s="15" t="s">
        <v>77</v>
      </c>
      <c r="J5" s="14">
        <v>2.1062272000000003E-2</v>
      </c>
      <c r="K5" s="14">
        <v>2.1634614E-2</v>
      </c>
      <c r="L5" s="14">
        <v>2.5793796000000001E-2</v>
      </c>
      <c r="M5" s="15">
        <v>0.91999999999999993</v>
      </c>
      <c r="N5" s="15">
        <v>0.94499999999999995</v>
      </c>
      <c r="O5" s="14">
        <v>0.18729641693811078</v>
      </c>
      <c r="P5" s="14">
        <v>0.39689150406303908</v>
      </c>
      <c r="Q5" s="14">
        <v>0.32000612179591231</v>
      </c>
      <c r="R5" s="14">
        <v>0.13403821907113359</v>
      </c>
      <c r="S5" s="15" t="s">
        <v>136</v>
      </c>
      <c r="T5" s="15" t="s">
        <v>137</v>
      </c>
      <c r="U5" s="5">
        <v>1.9739770000000001</v>
      </c>
    </row>
    <row r="6" spans="1:21" x14ac:dyDescent="0.25">
      <c r="A6" s="1" t="s">
        <v>20</v>
      </c>
      <c r="B6" s="6" t="s">
        <v>60</v>
      </c>
      <c r="C6" s="6" t="s">
        <v>61</v>
      </c>
      <c r="D6" s="6" t="s">
        <v>66</v>
      </c>
      <c r="E6" s="6" t="s">
        <v>19</v>
      </c>
      <c r="F6" s="15" t="s">
        <v>138</v>
      </c>
      <c r="G6" s="15" t="s">
        <v>139</v>
      </c>
      <c r="H6" s="15" t="s">
        <v>127</v>
      </c>
      <c r="I6" s="15" t="s">
        <v>78</v>
      </c>
      <c r="J6" s="14">
        <v>5.6077665999999998E-2</v>
      </c>
      <c r="K6" s="14">
        <v>5.6285253E-2</v>
      </c>
      <c r="L6" s="14">
        <v>7.4040923000000008E-2</v>
      </c>
      <c r="M6" s="15">
        <v>3.3270879999999998</v>
      </c>
      <c r="N6" s="15">
        <v>3.339404</v>
      </c>
      <c r="O6" s="14" t="s">
        <v>22</v>
      </c>
      <c r="P6" s="14" t="s">
        <v>22</v>
      </c>
      <c r="Q6" s="14">
        <v>6.4893176651646969E-2</v>
      </c>
      <c r="R6" s="14">
        <v>2.5781997717000849E-2</v>
      </c>
      <c r="S6" s="15" t="s">
        <v>140</v>
      </c>
      <c r="T6" s="15" t="s">
        <v>141</v>
      </c>
      <c r="U6" s="5">
        <v>-0.143902</v>
      </c>
    </row>
    <row r="7" spans="1:21" x14ac:dyDescent="0.25">
      <c r="A7" s="1" t="s">
        <v>21</v>
      </c>
      <c r="B7" s="6" t="s">
        <v>22</v>
      </c>
      <c r="C7" s="6" t="s">
        <v>22</v>
      </c>
      <c r="D7" s="6" t="s">
        <v>22</v>
      </c>
      <c r="E7" s="6" t="s">
        <v>22</v>
      </c>
      <c r="F7" s="15" t="s">
        <v>142</v>
      </c>
      <c r="G7" s="15" t="s">
        <v>143</v>
      </c>
      <c r="H7" s="15" t="s">
        <v>127</v>
      </c>
      <c r="I7" s="15" t="s">
        <v>79</v>
      </c>
      <c r="J7" s="14">
        <v>1.1424951999999999E-2</v>
      </c>
      <c r="K7" s="14">
        <v>1.1469785999999999E-2</v>
      </c>
      <c r="L7" s="14">
        <v>1.3866206000000001E-2</v>
      </c>
      <c r="M7" s="15">
        <v>0.58609999999999995</v>
      </c>
      <c r="N7" s="15">
        <v>0.58840000000000003</v>
      </c>
      <c r="O7" s="14" t="s">
        <v>22</v>
      </c>
      <c r="P7" s="14" t="s">
        <v>22</v>
      </c>
      <c r="Q7" s="14">
        <v>9.5413485094710135E-2</v>
      </c>
      <c r="R7" s="14" t="s">
        <v>22</v>
      </c>
      <c r="S7" s="15" t="s">
        <v>140</v>
      </c>
      <c r="T7" s="15" t="s">
        <v>140</v>
      </c>
      <c r="U7" s="5" t="s">
        <v>22</v>
      </c>
    </row>
    <row r="8" spans="1:21" x14ac:dyDescent="0.25">
      <c r="A8" s="1" t="s">
        <v>23</v>
      </c>
      <c r="B8" s="6" t="s">
        <v>22</v>
      </c>
      <c r="C8" s="6" t="s">
        <v>22</v>
      </c>
      <c r="D8" s="6" t="s">
        <v>22</v>
      </c>
      <c r="E8" s="6" t="s">
        <v>22</v>
      </c>
      <c r="F8" s="15" t="s">
        <v>22</v>
      </c>
      <c r="G8" s="15" t="s">
        <v>22</v>
      </c>
      <c r="H8" s="15" t="s">
        <v>22</v>
      </c>
      <c r="I8" s="15" t="s">
        <v>22</v>
      </c>
      <c r="J8" s="14" t="s">
        <v>22</v>
      </c>
      <c r="K8" s="14" t="s">
        <v>22</v>
      </c>
      <c r="L8" s="14" t="s">
        <v>22</v>
      </c>
      <c r="M8" s="15" t="s">
        <v>22</v>
      </c>
      <c r="N8" s="15" t="s">
        <v>22</v>
      </c>
      <c r="O8" s="14" t="s">
        <v>22</v>
      </c>
      <c r="P8" s="14" t="s">
        <v>22</v>
      </c>
      <c r="Q8" s="14" t="s">
        <v>22</v>
      </c>
      <c r="R8" s="14" t="s">
        <v>22</v>
      </c>
      <c r="S8" s="15" t="s">
        <v>22</v>
      </c>
      <c r="T8" s="15" t="s">
        <v>22</v>
      </c>
      <c r="U8" s="5">
        <v>2.2973970000000001</v>
      </c>
    </row>
    <row r="9" spans="1:21" x14ac:dyDescent="0.25">
      <c r="A9" s="1" t="s">
        <v>24</v>
      </c>
      <c r="B9" s="6" t="s">
        <v>22</v>
      </c>
      <c r="C9" s="6" t="s">
        <v>22</v>
      </c>
      <c r="D9" s="6" t="s">
        <v>22</v>
      </c>
      <c r="E9" s="6" t="s">
        <v>22</v>
      </c>
      <c r="F9" s="15" t="s">
        <v>22</v>
      </c>
      <c r="G9" s="15" t="s">
        <v>22</v>
      </c>
      <c r="H9" s="15" t="s">
        <v>22</v>
      </c>
      <c r="I9" s="15" t="s">
        <v>22</v>
      </c>
      <c r="J9" s="14" t="s">
        <v>22</v>
      </c>
      <c r="K9" s="14" t="s">
        <v>22</v>
      </c>
      <c r="L9" s="14" t="s">
        <v>22</v>
      </c>
      <c r="M9" s="15" t="s">
        <v>22</v>
      </c>
      <c r="N9" s="15" t="s">
        <v>22</v>
      </c>
      <c r="O9" s="14" t="s">
        <v>22</v>
      </c>
      <c r="P9" s="14" t="s">
        <v>22</v>
      </c>
      <c r="Q9" s="14" t="s">
        <v>22</v>
      </c>
      <c r="R9" s="14" t="s">
        <v>22</v>
      </c>
      <c r="S9" s="15" t="s">
        <v>22</v>
      </c>
      <c r="T9" s="15" t="s">
        <v>22</v>
      </c>
      <c r="U9" s="5">
        <v>3.1091700000000002</v>
      </c>
    </row>
    <row r="10" spans="1:21" x14ac:dyDescent="0.25">
      <c r="A10" s="1" t="s">
        <v>25</v>
      </c>
      <c r="B10" s="6" t="s">
        <v>22</v>
      </c>
      <c r="C10" s="6" t="s">
        <v>22</v>
      </c>
      <c r="D10" s="6" t="s">
        <v>22</v>
      </c>
      <c r="E10" s="6" t="s">
        <v>22</v>
      </c>
      <c r="F10" s="15" t="s">
        <v>22</v>
      </c>
      <c r="G10" s="15" t="s">
        <v>22</v>
      </c>
      <c r="H10" s="15" t="s">
        <v>22</v>
      </c>
      <c r="I10" s="15" t="s">
        <v>22</v>
      </c>
      <c r="J10" s="14" t="s">
        <v>22</v>
      </c>
      <c r="K10" s="14" t="s">
        <v>22</v>
      </c>
      <c r="L10" s="14" t="s">
        <v>22</v>
      </c>
      <c r="M10" s="15" t="s">
        <v>22</v>
      </c>
      <c r="N10" s="15" t="s">
        <v>22</v>
      </c>
      <c r="O10" s="14" t="s">
        <v>22</v>
      </c>
      <c r="P10" s="14" t="s">
        <v>22</v>
      </c>
      <c r="Q10" s="14" t="s">
        <v>22</v>
      </c>
      <c r="R10" s="14" t="s">
        <v>22</v>
      </c>
      <c r="S10" s="15" t="s">
        <v>22</v>
      </c>
      <c r="T10" s="15" t="s">
        <v>22</v>
      </c>
      <c r="U10" s="5">
        <v>1.5938140000000001</v>
      </c>
    </row>
    <row r="11" spans="1:21" x14ac:dyDescent="0.25">
      <c r="A11" s="1" t="s">
        <v>26</v>
      </c>
      <c r="B11" s="6" t="s">
        <v>22</v>
      </c>
      <c r="C11" s="6" t="s">
        <v>22</v>
      </c>
      <c r="D11" s="6" t="s">
        <v>22</v>
      </c>
      <c r="E11" s="6" t="s">
        <v>22</v>
      </c>
      <c r="F11" s="15" t="s">
        <v>22</v>
      </c>
      <c r="G11" s="15" t="s">
        <v>22</v>
      </c>
      <c r="H11" s="15" t="s">
        <v>22</v>
      </c>
      <c r="I11" s="15" t="s">
        <v>22</v>
      </c>
      <c r="J11" s="14" t="s">
        <v>22</v>
      </c>
      <c r="K11" s="14" t="s">
        <v>22</v>
      </c>
      <c r="L11" s="14" t="s">
        <v>22</v>
      </c>
      <c r="M11" s="15" t="s">
        <v>22</v>
      </c>
      <c r="N11" s="15" t="s">
        <v>22</v>
      </c>
      <c r="O11" s="14" t="s">
        <v>22</v>
      </c>
      <c r="P11" s="14" t="s">
        <v>22</v>
      </c>
      <c r="Q11" s="14" t="s">
        <v>22</v>
      </c>
      <c r="R11" s="14" t="s">
        <v>22</v>
      </c>
      <c r="S11" s="15" t="s">
        <v>22</v>
      </c>
      <c r="T11" s="15" t="s">
        <v>22</v>
      </c>
      <c r="U11" s="5">
        <v>1.676855</v>
      </c>
    </row>
    <row r="12" spans="1:21" x14ac:dyDescent="0.25">
      <c r="A12" s="1" t="s">
        <v>27</v>
      </c>
      <c r="B12" s="6" t="s">
        <v>66</v>
      </c>
      <c r="C12" s="6" t="s">
        <v>65</v>
      </c>
      <c r="D12" s="6" t="s">
        <v>19</v>
      </c>
      <c r="E12" s="6" t="s">
        <v>57</v>
      </c>
      <c r="F12" s="15" t="s">
        <v>144</v>
      </c>
      <c r="G12" s="15" t="s">
        <v>145</v>
      </c>
      <c r="H12" s="15" t="s">
        <v>127</v>
      </c>
      <c r="I12" s="15" t="s">
        <v>85</v>
      </c>
      <c r="J12" s="14">
        <v>1.7092824E-2</v>
      </c>
      <c r="K12" s="14">
        <v>1.7441657999999999E-2</v>
      </c>
      <c r="L12" s="14">
        <v>2.0104790000000001E-2</v>
      </c>
      <c r="M12" s="15">
        <v>4.9000000000000004</v>
      </c>
      <c r="N12" s="15">
        <v>5</v>
      </c>
      <c r="O12" s="14">
        <v>0.40508254590246601</v>
      </c>
      <c r="P12" s="14">
        <v>0.37814932896480724</v>
      </c>
      <c r="Q12" s="14">
        <v>2.727301919377334E-2</v>
      </c>
      <c r="R12" s="14">
        <v>5.5516181394787756E-2</v>
      </c>
      <c r="S12" s="15" t="s">
        <v>146</v>
      </c>
      <c r="T12" s="15" t="s">
        <v>147</v>
      </c>
      <c r="U12" s="5">
        <v>0.412663</v>
      </c>
    </row>
    <row r="13" spans="1:21" x14ac:dyDescent="0.25">
      <c r="A13" s="1" t="s">
        <v>28</v>
      </c>
      <c r="B13" s="6" t="s">
        <v>57</v>
      </c>
      <c r="C13" s="6" t="s">
        <v>66</v>
      </c>
      <c r="D13" s="6" t="s">
        <v>61</v>
      </c>
      <c r="E13" s="6" t="s">
        <v>66</v>
      </c>
      <c r="F13" s="15" t="s">
        <v>125</v>
      </c>
      <c r="G13" s="15" t="s">
        <v>148</v>
      </c>
      <c r="H13" s="15" t="s">
        <v>127</v>
      </c>
      <c r="I13" s="15" t="s">
        <v>86</v>
      </c>
      <c r="J13" s="14">
        <v>2.3216260000000002E-2</v>
      </c>
      <c r="K13" s="14">
        <v>2.3471383999999998E-2</v>
      </c>
      <c r="L13" s="14">
        <v>2.6015081000000002E-2</v>
      </c>
      <c r="M13" s="15">
        <v>13.65</v>
      </c>
      <c r="N13" s="15">
        <v>13.8</v>
      </c>
      <c r="O13" s="14">
        <v>0.50313306302985628</v>
      </c>
      <c r="P13" s="14">
        <v>0.48042562802594396</v>
      </c>
      <c r="Q13" s="14">
        <v>4.9744355303973808E-2</v>
      </c>
      <c r="R13" s="14">
        <v>6.0001539273940807E-2</v>
      </c>
      <c r="S13" s="15" t="s">
        <v>149</v>
      </c>
      <c r="T13" s="15" t="s">
        <v>137</v>
      </c>
      <c r="U13" s="5">
        <v>0.25982499999999997</v>
      </c>
    </row>
    <row r="14" spans="1:21" x14ac:dyDescent="0.25">
      <c r="A14" s="1" t="s">
        <v>29</v>
      </c>
      <c r="B14" s="6" t="s">
        <v>22</v>
      </c>
      <c r="C14" s="6" t="s">
        <v>22</v>
      </c>
      <c r="D14" s="6" t="s">
        <v>22</v>
      </c>
      <c r="E14" s="6" t="s">
        <v>22</v>
      </c>
      <c r="F14" s="15" t="s">
        <v>22</v>
      </c>
      <c r="G14" s="15" t="s">
        <v>22</v>
      </c>
      <c r="H14" s="15" t="s">
        <v>22</v>
      </c>
      <c r="I14" s="15" t="s">
        <v>22</v>
      </c>
      <c r="J14" s="14" t="s">
        <v>22</v>
      </c>
      <c r="K14" s="14" t="s">
        <v>22</v>
      </c>
      <c r="L14" s="14" t="s">
        <v>22</v>
      </c>
      <c r="M14" s="15" t="s">
        <v>22</v>
      </c>
      <c r="N14" s="15" t="s">
        <v>22</v>
      </c>
      <c r="O14" s="14" t="s">
        <v>22</v>
      </c>
      <c r="P14" s="14" t="s">
        <v>22</v>
      </c>
      <c r="Q14" s="14" t="s">
        <v>22</v>
      </c>
      <c r="R14" s="14" t="s">
        <v>22</v>
      </c>
      <c r="S14" s="15" t="s">
        <v>22</v>
      </c>
      <c r="T14" s="15" t="s">
        <v>22</v>
      </c>
      <c r="U14" s="5" t="s">
        <v>22</v>
      </c>
    </row>
    <row r="15" spans="1:21" x14ac:dyDescent="0.25">
      <c r="A15" s="1" t="s">
        <v>30</v>
      </c>
      <c r="B15" s="6" t="s">
        <v>22</v>
      </c>
      <c r="C15" s="6" t="s">
        <v>22</v>
      </c>
      <c r="D15" s="6" t="s">
        <v>22</v>
      </c>
      <c r="E15" s="6" t="s">
        <v>22</v>
      </c>
      <c r="F15" s="15" t="s">
        <v>22</v>
      </c>
      <c r="G15" s="15" t="s">
        <v>22</v>
      </c>
      <c r="H15" s="15" t="s">
        <v>22</v>
      </c>
      <c r="I15" s="15" t="s">
        <v>22</v>
      </c>
      <c r="J15" s="14" t="s">
        <v>22</v>
      </c>
      <c r="K15" s="14" t="s">
        <v>22</v>
      </c>
      <c r="L15" s="14" t="s">
        <v>22</v>
      </c>
      <c r="M15" s="15" t="s">
        <v>22</v>
      </c>
      <c r="N15" s="15" t="s">
        <v>22</v>
      </c>
      <c r="O15" s="14" t="s">
        <v>22</v>
      </c>
      <c r="P15" s="14" t="s">
        <v>22</v>
      </c>
      <c r="Q15" s="14" t="s">
        <v>22</v>
      </c>
      <c r="R15" s="14" t="s">
        <v>22</v>
      </c>
      <c r="S15" s="15" t="s">
        <v>22</v>
      </c>
      <c r="T15" s="15" t="s">
        <v>22</v>
      </c>
      <c r="U15" s="5">
        <v>0.64410400000000001</v>
      </c>
    </row>
    <row r="16" spans="1:21" x14ac:dyDescent="0.25">
      <c r="A16" s="1" t="s">
        <v>31</v>
      </c>
      <c r="B16" s="6" t="s">
        <v>63</v>
      </c>
      <c r="C16" s="6" t="s">
        <v>66</v>
      </c>
      <c r="D16" s="6" t="s">
        <v>58</v>
      </c>
      <c r="E16" s="6" t="s">
        <v>64</v>
      </c>
      <c r="F16" s="15" t="s">
        <v>150</v>
      </c>
      <c r="G16" s="15" t="s">
        <v>151</v>
      </c>
      <c r="H16" s="15" t="s">
        <v>127</v>
      </c>
      <c r="I16" s="15" t="s">
        <v>87</v>
      </c>
      <c r="J16" s="14">
        <v>9.0281470000000003E-3</v>
      </c>
      <c r="K16" s="14">
        <v>9.2051689999999992E-3</v>
      </c>
      <c r="L16" s="14">
        <v>3.0178442E-2</v>
      </c>
      <c r="M16" s="15">
        <v>1.02</v>
      </c>
      <c r="N16" s="15">
        <v>1.04</v>
      </c>
      <c r="O16" s="14">
        <v>0.11159263271939331</v>
      </c>
      <c r="P16" s="14">
        <v>0.59004174795785691</v>
      </c>
      <c r="Q16" s="14">
        <v>-0.18726519814252221</v>
      </c>
      <c r="R16" s="14">
        <v>-0.1023388605095896</v>
      </c>
      <c r="S16" s="15" t="s">
        <v>128</v>
      </c>
      <c r="T16" s="15" t="s">
        <v>147</v>
      </c>
      <c r="U16" s="5">
        <v>1.0043660000000001</v>
      </c>
    </row>
    <row r="17" spans="1:21" x14ac:dyDescent="0.25">
      <c r="A17" s="1" t="s">
        <v>32</v>
      </c>
      <c r="B17" s="6" t="s">
        <v>66</v>
      </c>
      <c r="C17" s="6" t="s">
        <v>61</v>
      </c>
      <c r="D17" s="6" t="s">
        <v>65</v>
      </c>
      <c r="E17" s="6" t="s">
        <v>57</v>
      </c>
      <c r="F17" s="15" t="s">
        <v>152</v>
      </c>
      <c r="G17" s="15" t="s">
        <v>153</v>
      </c>
      <c r="H17" s="15" t="s">
        <v>127</v>
      </c>
      <c r="I17" s="15" t="s">
        <v>88</v>
      </c>
      <c r="J17" s="14">
        <v>1.6445642E-2</v>
      </c>
      <c r="K17" s="14">
        <v>1.7285419999999999E-2</v>
      </c>
      <c r="L17" s="14">
        <v>1.5498276E-2</v>
      </c>
      <c r="M17" s="15">
        <v>9.4</v>
      </c>
      <c r="N17" s="15">
        <v>9.8800000000000008</v>
      </c>
      <c r="O17" s="14">
        <v>0.32729805013927565</v>
      </c>
      <c r="P17" s="14">
        <v>0.31059088188302403</v>
      </c>
      <c r="Q17" s="14">
        <v>0.10012250955278561</v>
      </c>
      <c r="R17" s="14">
        <v>9.6885333054215206E-2</v>
      </c>
      <c r="S17" s="15" t="s">
        <v>154</v>
      </c>
      <c r="T17" s="15" t="s">
        <v>147</v>
      </c>
      <c r="U17" s="5">
        <v>0.26200800000000002</v>
      </c>
    </row>
    <row r="18" spans="1:21" x14ac:dyDescent="0.25">
      <c r="A18" s="1" t="s">
        <v>33</v>
      </c>
      <c r="B18" s="6" t="s">
        <v>22</v>
      </c>
      <c r="C18" s="6" t="s">
        <v>22</v>
      </c>
      <c r="D18" s="6" t="s">
        <v>22</v>
      </c>
      <c r="E18" s="6" t="s">
        <v>22</v>
      </c>
      <c r="F18" s="15" t="s">
        <v>22</v>
      </c>
      <c r="G18" s="15" t="s">
        <v>22</v>
      </c>
      <c r="H18" s="15" t="s">
        <v>22</v>
      </c>
      <c r="I18" s="15" t="s">
        <v>22</v>
      </c>
      <c r="J18" s="14" t="s">
        <v>22</v>
      </c>
      <c r="K18" s="14" t="s">
        <v>22</v>
      </c>
      <c r="L18" s="14" t="s">
        <v>22</v>
      </c>
      <c r="M18" s="15" t="s">
        <v>22</v>
      </c>
      <c r="N18" s="15" t="s">
        <v>22</v>
      </c>
      <c r="O18" s="14" t="s">
        <v>22</v>
      </c>
      <c r="P18" s="14" t="s">
        <v>22</v>
      </c>
      <c r="Q18" s="14" t="s">
        <v>22</v>
      </c>
      <c r="R18" s="14" t="s">
        <v>22</v>
      </c>
      <c r="S18" s="15" t="s">
        <v>22</v>
      </c>
      <c r="T18" s="15" t="s">
        <v>22</v>
      </c>
      <c r="U18" s="5">
        <v>1.875545</v>
      </c>
    </row>
    <row r="19" spans="1:21" x14ac:dyDescent="0.25">
      <c r="A19" s="1" t="s">
        <v>34</v>
      </c>
      <c r="B19" s="6" t="s">
        <v>61</v>
      </c>
      <c r="C19" s="6" t="s">
        <v>56</v>
      </c>
      <c r="D19" s="6" t="s">
        <v>64</v>
      </c>
      <c r="E19" s="6" t="s">
        <v>19</v>
      </c>
      <c r="F19" s="15" t="s">
        <v>155</v>
      </c>
      <c r="G19" s="15" t="s">
        <v>156</v>
      </c>
      <c r="H19" s="15" t="s">
        <v>127</v>
      </c>
      <c r="I19" s="15" t="s">
        <v>89</v>
      </c>
      <c r="J19" s="14">
        <v>1.3603591999999999E-2</v>
      </c>
      <c r="K19" s="14">
        <v>1.3603591999999999E-2</v>
      </c>
      <c r="L19" s="14">
        <v>1.2167971E-2</v>
      </c>
      <c r="M19" s="15">
        <v>2</v>
      </c>
      <c r="N19" s="15">
        <v>2</v>
      </c>
      <c r="O19" s="14">
        <v>0.26212319790301442</v>
      </c>
      <c r="P19" s="14">
        <v>0.28132873347081683</v>
      </c>
      <c r="Q19" s="14">
        <v>0.1157215834702825</v>
      </c>
      <c r="R19" s="14">
        <v>0.1229551070568209</v>
      </c>
      <c r="S19" s="15" t="s">
        <v>157</v>
      </c>
      <c r="T19" s="15" t="s">
        <v>158</v>
      </c>
      <c r="U19" s="5">
        <v>1.762008</v>
      </c>
    </row>
    <row r="20" spans="1:21" x14ac:dyDescent="0.25">
      <c r="A20" s="1" t="s">
        <v>35</v>
      </c>
      <c r="B20" s="6" t="s">
        <v>19</v>
      </c>
      <c r="C20" s="6" t="s">
        <v>63</v>
      </c>
      <c r="D20" s="6" t="s">
        <v>64</v>
      </c>
      <c r="E20" s="6" t="s">
        <v>58</v>
      </c>
      <c r="F20" s="15" t="s">
        <v>159</v>
      </c>
      <c r="G20" s="15" t="s">
        <v>152</v>
      </c>
      <c r="H20" s="15" t="s">
        <v>127</v>
      </c>
      <c r="I20" s="15" t="s">
        <v>91</v>
      </c>
      <c r="J20" s="14">
        <v>1.2104647E-2</v>
      </c>
      <c r="K20" s="14">
        <v>1.4057009000000001E-2</v>
      </c>
      <c r="L20" s="14">
        <v>1.9855328999999998E-2</v>
      </c>
      <c r="M20" s="15">
        <v>0.62</v>
      </c>
      <c r="N20" s="15">
        <v>0.72</v>
      </c>
      <c r="O20" s="14">
        <v>0.1737625052691871</v>
      </c>
      <c r="P20" s="14">
        <v>3.4539524902147889</v>
      </c>
      <c r="Q20" s="14">
        <v>6.0383062071096782E-2</v>
      </c>
      <c r="R20" s="14">
        <v>0.20902725032898989</v>
      </c>
      <c r="S20" s="15" t="s">
        <v>136</v>
      </c>
      <c r="T20" s="15" t="s">
        <v>160</v>
      </c>
      <c r="U20" s="5">
        <v>2.6988840000000001</v>
      </c>
    </row>
    <row r="21" spans="1:21" x14ac:dyDescent="0.25">
      <c r="A21" s="1" t="s">
        <v>36</v>
      </c>
      <c r="B21" s="6" t="s">
        <v>19</v>
      </c>
      <c r="C21" s="6" t="s">
        <v>57</v>
      </c>
      <c r="D21" s="6" t="s">
        <v>19</v>
      </c>
      <c r="E21" s="6" t="s">
        <v>63</v>
      </c>
      <c r="F21" s="15" t="s">
        <v>161</v>
      </c>
      <c r="G21" s="15" t="s">
        <v>162</v>
      </c>
      <c r="H21" s="15" t="s">
        <v>127</v>
      </c>
      <c r="I21" s="15" t="s">
        <v>92</v>
      </c>
      <c r="J21" s="14">
        <v>3.1017566E-2</v>
      </c>
      <c r="K21" s="14">
        <v>3.1017566E-2</v>
      </c>
      <c r="L21" s="14">
        <v>4.4478916999999993E-2</v>
      </c>
      <c r="M21" s="15">
        <v>5.88</v>
      </c>
      <c r="N21" s="15">
        <v>5.88</v>
      </c>
      <c r="O21" s="14">
        <v>0.72592592592592597</v>
      </c>
      <c r="P21" s="14">
        <v>0.81100469340905523</v>
      </c>
      <c r="Q21" s="14">
        <v>4.9956253645478954E-2</v>
      </c>
      <c r="R21" s="14">
        <v>4.1423126681443989E-2</v>
      </c>
      <c r="S21" s="15" t="s">
        <v>133</v>
      </c>
      <c r="T21" s="15" t="s">
        <v>133</v>
      </c>
      <c r="U21" s="5">
        <v>-5.2401000000000003E-2</v>
      </c>
    </row>
    <row r="22" spans="1:21" x14ac:dyDescent="0.25">
      <c r="A22" s="1" t="s">
        <v>37</v>
      </c>
      <c r="B22" s="6" t="s">
        <v>22</v>
      </c>
      <c r="C22" s="6" t="s">
        <v>22</v>
      </c>
      <c r="D22" s="6" t="s">
        <v>22</v>
      </c>
      <c r="E22" s="6" t="s">
        <v>22</v>
      </c>
      <c r="F22" s="15" t="s">
        <v>163</v>
      </c>
      <c r="G22" s="15" t="s">
        <v>164</v>
      </c>
      <c r="H22" s="15" t="s">
        <v>127</v>
      </c>
      <c r="I22" s="15" t="s">
        <v>95</v>
      </c>
      <c r="J22" s="14">
        <v>3.4656656000000004E-3</v>
      </c>
      <c r="K22" s="14">
        <v>2.9570137999999999E-3</v>
      </c>
      <c r="L22" s="14">
        <v>5.9996647000000007E-3</v>
      </c>
      <c r="M22" s="15">
        <v>0.63692000000000004</v>
      </c>
      <c r="N22" s="15">
        <v>0.54344000000000003</v>
      </c>
      <c r="O22" s="14" t="s">
        <v>22</v>
      </c>
      <c r="P22" s="14" t="s">
        <v>22</v>
      </c>
      <c r="Q22" s="14">
        <v>9.1971532913462717E-2</v>
      </c>
      <c r="R22" s="14">
        <v>7.4976800181968381E-2</v>
      </c>
      <c r="S22" s="15" t="s">
        <v>165</v>
      </c>
      <c r="T22" s="15" t="s">
        <v>166</v>
      </c>
      <c r="U22" s="5">
        <v>0.98471600000000004</v>
      </c>
    </row>
    <row r="23" spans="1:21" x14ac:dyDescent="0.25">
      <c r="A23" s="1" t="s">
        <v>38</v>
      </c>
      <c r="B23" s="6" t="s">
        <v>65</v>
      </c>
      <c r="C23" s="6" t="s">
        <v>64</v>
      </c>
      <c r="D23" s="6" t="s">
        <v>58</v>
      </c>
      <c r="E23" s="6" t="s">
        <v>60</v>
      </c>
      <c r="F23" s="15" t="s">
        <v>167</v>
      </c>
      <c r="G23" s="15" t="s">
        <v>168</v>
      </c>
      <c r="H23" s="15" t="s">
        <v>127</v>
      </c>
      <c r="I23" s="15" t="s">
        <v>99</v>
      </c>
      <c r="J23" s="14">
        <v>3.0769231000000001E-2</v>
      </c>
      <c r="K23" s="14">
        <v>3.1761787E-2</v>
      </c>
      <c r="L23" s="14">
        <v>3.0115397000000002E-2</v>
      </c>
      <c r="M23" s="15">
        <v>0.62</v>
      </c>
      <c r="N23" s="15">
        <v>0.64</v>
      </c>
      <c r="O23" s="14">
        <v>0.34065934065934073</v>
      </c>
      <c r="P23" s="14">
        <v>0.31919097265214658</v>
      </c>
      <c r="Q23" s="14">
        <v>0.60484641644409187</v>
      </c>
      <c r="R23" s="14" t="s">
        <v>22</v>
      </c>
      <c r="S23" s="15" t="s">
        <v>140</v>
      </c>
      <c r="T23" s="15" t="s">
        <v>140</v>
      </c>
      <c r="U23" s="5">
        <v>0.460698</v>
      </c>
    </row>
    <row r="24" spans="1:21" x14ac:dyDescent="0.25">
      <c r="A24" s="1" t="s">
        <v>39</v>
      </c>
      <c r="B24" s="6" t="s">
        <v>22</v>
      </c>
      <c r="C24" s="6" t="s">
        <v>22</v>
      </c>
      <c r="D24" s="6" t="s">
        <v>22</v>
      </c>
      <c r="E24" s="6" t="s">
        <v>22</v>
      </c>
      <c r="F24" s="15" t="s">
        <v>169</v>
      </c>
      <c r="G24" s="15" t="s">
        <v>170</v>
      </c>
      <c r="H24" s="15" t="s">
        <v>127</v>
      </c>
      <c r="I24" s="15" t="s">
        <v>100</v>
      </c>
      <c r="J24" s="14">
        <v>3.2945898000000001E-2</v>
      </c>
      <c r="K24" s="14">
        <v>4.2461356999999998E-2</v>
      </c>
      <c r="L24" s="14">
        <v>3.9235079999999999E-2</v>
      </c>
      <c r="M24" s="15">
        <v>1.1083000000000001</v>
      </c>
      <c r="N24" s="15">
        <v>1.4283999999999999</v>
      </c>
      <c r="O24" s="14" t="s">
        <v>22</v>
      </c>
      <c r="P24" s="14" t="s">
        <v>22</v>
      </c>
      <c r="Q24" s="14">
        <v>9.9992159274459258E-2</v>
      </c>
      <c r="R24" s="14" t="s">
        <v>22</v>
      </c>
      <c r="S24" s="15" t="s">
        <v>128</v>
      </c>
      <c r="T24" s="15" t="s">
        <v>171</v>
      </c>
      <c r="U24" s="5" t="s">
        <v>22</v>
      </c>
    </row>
    <row r="25" spans="1:21" x14ac:dyDescent="0.25">
      <c r="A25" s="1" t="s">
        <v>40</v>
      </c>
      <c r="B25" s="6" t="s">
        <v>22</v>
      </c>
      <c r="C25" s="6" t="s">
        <v>22</v>
      </c>
      <c r="D25" s="6" t="s">
        <v>22</v>
      </c>
      <c r="E25" s="6" t="s">
        <v>22</v>
      </c>
      <c r="F25" s="15" t="s">
        <v>172</v>
      </c>
      <c r="G25" s="15" t="s">
        <v>173</v>
      </c>
      <c r="H25" s="15" t="s">
        <v>174</v>
      </c>
      <c r="I25" s="15" t="s">
        <v>22</v>
      </c>
      <c r="J25" s="14" t="s">
        <v>22</v>
      </c>
      <c r="K25" s="14" t="s">
        <v>22</v>
      </c>
      <c r="L25" s="14" t="s">
        <v>22</v>
      </c>
      <c r="M25" s="15" t="s">
        <v>22</v>
      </c>
      <c r="N25" s="15" t="s">
        <v>22</v>
      </c>
      <c r="O25" s="14" t="s">
        <v>22</v>
      </c>
      <c r="P25" s="14" t="s">
        <v>22</v>
      </c>
      <c r="Q25" s="14" t="s">
        <v>22</v>
      </c>
      <c r="R25" s="14" t="s">
        <v>22</v>
      </c>
      <c r="S25" s="15" t="s">
        <v>128</v>
      </c>
      <c r="T25" s="15" t="s">
        <v>128</v>
      </c>
      <c r="U25" s="5">
        <v>0.76637500000000003</v>
      </c>
    </row>
    <row r="26" spans="1:21" x14ac:dyDescent="0.25">
      <c r="A26" s="1" t="s">
        <v>41</v>
      </c>
      <c r="B26" s="6" t="s">
        <v>22</v>
      </c>
      <c r="C26" s="6" t="s">
        <v>22</v>
      </c>
      <c r="D26" s="6" t="s">
        <v>22</v>
      </c>
      <c r="E26" s="6" t="s">
        <v>22</v>
      </c>
      <c r="F26" s="15" t="s">
        <v>22</v>
      </c>
      <c r="G26" s="15" t="s">
        <v>22</v>
      </c>
      <c r="H26" s="15" t="s">
        <v>22</v>
      </c>
      <c r="I26" s="15" t="s">
        <v>22</v>
      </c>
      <c r="J26" s="14" t="s">
        <v>22</v>
      </c>
      <c r="K26" s="14" t="s">
        <v>22</v>
      </c>
      <c r="L26" s="14" t="s">
        <v>22</v>
      </c>
      <c r="M26" s="15" t="s">
        <v>22</v>
      </c>
      <c r="N26" s="15" t="s">
        <v>22</v>
      </c>
      <c r="O26" s="14" t="s">
        <v>22</v>
      </c>
      <c r="P26" s="14" t="s">
        <v>22</v>
      </c>
      <c r="Q26" s="14" t="s">
        <v>22</v>
      </c>
      <c r="R26" s="14" t="s">
        <v>22</v>
      </c>
      <c r="S26" s="15" t="s">
        <v>22</v>
      </c>
      <c r="T26" s="15" t="s">
        <v>22</v>
      </c>
      <c r="U26" s="5">
        <v>-0.37991200000000003</v>
      </c>
    </row>
  </sheetData>
  <conditionalFormatting sqref="B2:B26">
    <cfRule type="cellIs" dxfId="535" priority="1" operator="equal">
      <formula>"A+"</formula>
    </cfRule>
    <cfRule type="cellIs" dxfId="534" priority="2" operator="equal">
      <formula>"A"</formula>
    </cfRule>
    <cfRule type="cellIs" dxfId="533" priority="3" operator="equal">
      <formula>"A-"</formula>
    </cfRule>
    <cfRule type="cellIs" dxfId="532" priority="4" operator="equal">
      <formula>"B+"</formula>
    </cfRule>
    <cfRule type="cellIs" dxfId="531" priority="5" operator="equal">
      <formula>"B"</formula>
    </cfRule>
    <cfRule type="cellIs" dxfId="530" priority="6" operator="equal">
      <formula>"B-"</formula>
    </cfRule>
    <cfRule type="cellIs" dxfId="529" priority="7" operator="equal">
      <formula>"C+"</formula>
    </cfRule>
    <cfRule type="cellIs" dxfId="528" priority="8" operator="equal">
      <formula>"C"</formula>
    </cfRule>
    <cfRule type="cellIs" dxfId="527" priority="9" operator="equal">
      <formula>"C-"</formula>
    </cfRule>
    <cfRule type="cellIs" dxfId="526" priority="10" operator="equal">
      <formula>"D+"</formula>
    </cfRule>
    <cfRule type="cellIs" dxfId="525" priority="11" operator="equal">
      <formula>"D"</formula>
    </cfRule>
    <cfRule type="cellIs" dxfId="524" priority="12" operator="equal">
      <formula>"D-"</formula>
    </cfRule>
    <cfRule type="cellIs" dxfId="523" priority="13" operator="equal">
      <formula>"F"</formula>
    </cfRule>
    <cfRule type="notContainsBlanks" dxfId="522" priority="14">
      <formula>LEN(TRIM(B2))&gt;0</formula>
    </cfRule>
  </conditionalFormatting>
  <conditionalFormatting sqref="C2:C26">
    <cfRule type="cellIs" dxfId="521" priority="15" operator="equal">
      <formula>"A+"</formula>
    </cfRule>
    <cfRule type="cellIs" dxfId="520" priority="16" operator="equal">
      <formula>"A"</formula>
    </cfRule>
    <cfRule type="cellIs" dxfId="519" priority="17" operator="equal">
      <formula>"A-"</formula>
    </cfRule>
    <cfRule type="cellIs" dxfId="518" priority="18" operator="equal">
      <formula>"B+"</formula>
    </cfRule>
    <cfRule type="cellIs" dxfId="517" priority="19" operator="equal">
      <formula>"B"</formula>
    </cfRule>
    <cfRule type="cellIs" dxfId="516" priority="20" operator="equal">
      <formula>"B-"</formula>
    </cfRule>
    <cfRule type="cellIs" dxfId="515" priority="21" operator="equal">
      <formula>"C+"</formula>
    </cfRule>
    <cfRule type="cellIs" dxfId="514" priority="22" operator="equal">
      <formula>"C"</formula>
    </cfRule>
    <cfRule type="cellIs" dxfId="513" priority="23" operator="equal">
      <formula>"C-"</formula>
    </cfRule>
    <cfRule type="cellIs" dxfId="512" priority="24" operator="equal">
      <formula>"D+"</formula>
    </cfRule>
    <cfRule type="cellIs" dxfId="511" priority="25" operator="equal">
      <formula>"D"</formula>
    </cfRule>
    <cfRule type="cellIs" dxfId="510" priority="26" operator="equal">
      <formula>"D-"</formula>
    </cfRule>
    <cfRule type="cellIs" dxfId="509" priority="27" operator="equal">
      <formula>"F"</formula>
    </cfRule>
    <cfRule type="notContainsBlanks" dxfId="508" priority="28">
      <formula>LEN(TRIM(C2))&gt;0</formula>
    </cfRule>
  </conditionalFormatting>
  <conditionalFormatting sqref="D2:D26">
    <cfRule type="cellIs" dxfId="507" priority="29" operator="equal">
      <formula>"A+"</formula>
    </cfRule>
    <cfRule type="cellIs" dxfId="506" priority="30" operator="equal">
      <formula>"A"</formula>
    </cfRule>
    <cfRule type="cellIs" dxfId="505" priority="31" operator="equal">
      <formula>"A-"</formula>
    </cfRule>
    <cfRule type="cellIs" dxfId="504" priority="32" operator="equal">
      <formula>"B+"</formula>
    </cfRule>
    <cfRule type="cellIs" dxfId="503" priority="33" operator="equal">
      <formula>"B"</formula>
    </cfRule>
    <cfRule type="cellIs" dxfId="502" priority="34" operator="equal">
      <formula>"B-"</formula>
    </cfRule>
    <cfRule type="cellIs" dxfId="501" priority="35" operator="equal">
      <formula>"C+"</formula>
    </cfRule>
    <cfRule type="cellIs" dxfId="500" priority="36" operator="equal">
      <formula>"C"</formula>
    </cfRule>
    <cfRule type="cellIs" dxfId="499" priority="37" operator="equal">
      <formula>"C-"</formula>
    </cfRule>
    <cfRule type="cellIs" dxfId="498" priority="38" operator="equal">
      <formula>"D+"</formula>
    </cfRule>
    <cfRule type="cellIs" dxfId="497" priority="39" operator="equal">
      <formula>"D"</formula>
    </cfRule>
    <cfRule type="cellIs" dxfId="496" priority="40" operator="equal">
      <formula>"D-"</formula>
    </cfRule>
    <cfRule type="cellIs" dxfId="495" priority="41" operator="equal">
      <formula>"F"</formula>
    </cfRule>
    <cfRule type="notContainsBlanks" dxfId="494" priority="42">
      <formula>LEN(TRIM(D2))&gt;0</formula>
    </cfRule>
  </conditionalFormatting>
  <conditionalFormatting sqref="E2:E26">
    <cfRule type="cellIs" dxfId="493" priority="43" operator="equal">
      <formula>"A+"</formula>
    </cfRule>
    <cfRule type="cellIs" dxfId="492" priority="44" operator="equal">
      <formula>"A"</formula>
    </cfRule>
    <cfRule type="cellIs" dxfId="491" priority="45" operator="equal">
      <formula>"A-"</formula>
    </cfRule>
    <cfRule type="cellIs" dxfId="490" priority="46" operator="equal">
      <formula>"B+"</formula>
    </cfRule>
    <cfRule type="cellIs" dxfId="489" priority="47" operator="equal">
      <formula>"B"</formula>
    </cfRule>
    <cfRule type="cellIs" dxfId="488" priority="48" operator="equal">
      <formula>"B-"</formula>
    </cfRule>
    <cfRule type="cellIs" dxfId="487" priority="49" operator="equal">
      <formula>"C+"</formula>
    </cfRule>
    <cfRule type="cellIs" dxfId="486" priority="50" operator="equal">
      <formula>"C"</formula>
    </cfRule>
    <cfRule type="cellIs" dxfId="485" priority="51" operator="equal">
      <formula>"C-"</formula>
    </cfRule>
    <cfRule type="cellIs" dxfId="484" priority="52" operator="equal">
      <formula>"D+"</formula>
    </cfRule>
    <cfRule type="cellIs" dxfId="483" priority="53" operator="equal">
      <formula>"D"</formula>
    </cfRule>
    <cfRule type="cellIs" dxfId="482" priority="54" operator="equal">
      <formula>"D-"</formula>
    </cfRule>
    <cfRule type="cellIs" dxfId="481" priority="55" operator="equal">
      <formula>"F"</formula>
    </cfRule>
    <cfRule type="notContainsBlanks" dxfId="480" priority="56">
      <formula>LEN(TRIM(E2))&gt;0</formula>
    </cfRule>
  </conditionalFormatting>
  <conditionalFormatting sqref="M2:M26">
    <cfRule type="cellIs" dxfId="479" priority="57" operator="between">
      <formula>-9995</formula>
      <formula>9995</formula>
    </cfRule>
    <cfRule type="cellIs" dxfId="478" priority="58" operator="greaterThan">
      <formula>999999950000</formula>
    </cfRule>
    <cfRule type="cellIs" dxfId="477" priority="59" operator="greaterThan">
      <formula>999995000</formula>
    </cfRule>
    <cfRule type="cellIs" dxfId="476" priority="60" operator="greaterThan">
      <formula>999500</formula>
    </cfRule>
    <cfRule type="cellIs" dxfId="475" priority="61" operator="greaterThan">
      <formula>9995</formula>
    </cfRule>
    <cfRule type="cellIs" dxfId="474" priority="62" operator="lessThan">
      <formula>-999999950000</formula>
    </cfRule>
    <cfRule type="cellIs" dxfId="473" priority="63" operator="lessThan">
      <formula>-999995000</formula>
    </cfRule>
    <cfRule type="cellIs" dxfId="472" priority="64" operator="lessThan">
      <formula>-999500</formula>
    </cfRule>
    <cfRule type="cellIs" dxfId="471" priority="65" operator="lessThan">
      <formula>-9995</formula>
    </cfRule>
  </conditionalFormatting>
  <conditionalFormatting sqref="N2:N26">
    <cfRule type="cellIs" dxfId="470" priority="66" operator="between">
      <formula>-9995</formula>
      <formula>9995</formula>
    </cfRule>
    <cfRule type="cellIs" dxfId="469" priority="67" operator="greaterThan">
      <formula>999999950000</formula>
    </cfRule>
    <cfRule type="cellIs" dxfId="468" priority="68" operator="greaterThan">
      <formula>999995000</formula>
    </cfRule>
    <cfRule type="cellIs" dxfId="467" priority="69" operator="greaterThan">
      <formula>999500</formula>
    </cfRule>
    <cfRule type="cellIs" dxfId="466" priority="70" operator="greaterThan">
      <formula>9995</formula>
    </cfRule>
    <cfRule type="cellIs" dxfId="465" priority="71" operator="lessThan">
      <formula>-999999950000</formula>
    </cfRule>
    <cfRule type="cellIs" dxfId="464" priority="72" operator="lessThan">
      <formula>-999995000</formula>
    </cfRule>
    <cfRule type="cellIs" dxfId="463" priority="73" operator="lessThan">
      <formula>-999500</formula>
    </cfRule>
    <cfRule type="cellIs" dxfId="462" priority="74" operator="lessThan">
      <formula>-9995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9"/>
  <sheetViews>
    <sheetView workbookViewId="0"/>
  </sheetViews>
  <sheetFormatPr defaultColWidth="15" defaultRowHeight="20.100000000000001" customHeight="1" x14ac:dyDescent="0.25"/>
  <cols>
    <col min="1" max="1" width="20" style="1" customWidth="1"/>
    <col min="2" max="2" width="15" style="16" customWidth="1"/>
    <col min="3" max="4" width="15" style="2" customWidth="1"/>
    <col min="5" max="5" width="15" style="3" customWidth="1"/>
    <col min="6" max="8" width="15" style="4" customWidth="1"/>
    <col min="9" max="12" width="15" style="6" customWidth="1"/>
    <col min="13" max="19" width="15" style="14" customWidth="1"/>
    <col min="20" max="21" width="15" style="5" customWidth="1"/>
  </cols>
  <sheetData>
    <row r="1" spans="1:21" s="7" customFormat="1" ht="20.100000000000001" customHeight="1" x14ac:dyDescent="0.2">
      <c r="A1" s="8" t="s">
        <v>0</v>
      </c>
      <c r="B1" s="12" t="s">
        <v>67</v>
      </c>
      <c r="C1" s="9" t="s">
        <v>1</v>
      </c>
      <c r="D1" s="9" t="s">
        <v>74</v>
      </c>
      <c r="E1" s="10" t="s">
        <v>2</v>
      </c>
      <c r="F1" s="11" t="s">
        <v>3</v>
      </c>
      <c r="G1" s="11" t="s">
        <v>73</v>
      </c>
      <c r="H1" s="9" t="s">
        <v>72</v>
      </c>
      <c r="I1" s="13" t="s">
        <v>13</v>
      </c>
      <c r="J1" s="13" t="s">
        <v>14</v>
      </c>
      <c r="K1" s="13" t="s">
        <v>15</v>
      </c>
      <c r="L1" s="18" t="s">
        <v>68</v>
      </c>
      <c r="M1" s="11" t="s">
        <v>4</v>
      </c>
      <c r="N1" s="9" t="s">
        <v>175</v>
      </c>
      <c r="O1" s="9" t="s">
        <v>176</v>
      </c>
      <c r="P1" s="9" t="s">
        <v>177</v>
      </c>
      <c r="Q1" s="9" t="s">
        <v>178</v>
      </c>
      <c r="R1" s="9" t="s">
        <v>110</v>
      </c>
      <c r="S1" s="11" t="s">
        <v>113</v>
      </c>
      <c r="T1" s="12" t="s">
        <v>179</v>
      </c>
      <c r="U1" s="12" t="s">
        <v>180</v>
      </c>
    </row>
    <row r="2" spans="1:21" x14ac:dyDescent="0.25">
      <c r="A2" s="1" t="s">
        <v>16</v>
      </c>
      <c r="B2" s="16">
        <v>90</v>
      </c>
      <c r="C2" s="2">
        <v>180.48</v>
      </c>
      <c r="D2" s="15">
        <v>16243.199999999999</v>
      </c>
      <c r="E2" s="3">
        <v>1.6599999999999966</v>
      </c>
      <c r="F2" s="4">
        <v>9.2830779554859966E-3</v>
      </c>
      <c r="G2" s="14">
        <v>-0.17780511138444724</v>
      </c>
      <c r="H2" s="15">
        <v>-3512.7000000000003</v>
      </c>
      <c r="I2" s="6">
        <v>2.8</v>
      </c>
      <c r="J2" s="6">
        <v>3.75</v>
      </c>
      <c r="K2" s="6">
        <v>4.2699999999999996</v>
      </c>
      <c r="L2" s="17">
        <v>219.50999999999996</v>
      </c>
      <c r="M2" s="14">
        <v>1.297491649542259E-2</v>
      </c>
      <c r="N2" s="15" t="s">
        <v>181</v>
      </c>
      <c r="O2" s="15" t="s">
        <v>182</v>
      </c>
      <c r="P2" s="15">
        <v>2.8396599999999999</v>
      </c>
      <c r="Q2" s="15">
        <v>0.14102000000000001</v>
      </c>
      <c r="R2" s="15" t="s">
        <v>125</v>
      </c>
      <c r="S2" s="14">
        <v>9.506767000000001E-3</v>
      </c>
      <c r="T2" s="5">
        <v>15.306616999999999</v>
      </c>
      <c r="U2" s="5">
        <v>6.1702703999999997</v>
      </c>
    </row>
    <row r="3" spans="1:21" x14ac:dyDescent="0.25">
      <c r="A3" s="1" t="s">
        <v>17</v>
      </c>
      <c r="B3" s="16">
        <v>269</v>
      </c>
      <c r="C3" s="2">
        <v>191.52</v>
      </c>
      <c r="D3" s="15">
        <v>51518.879999999997</v>
      </c>
      <c r="E3" s="3">
        <v>2.8500000000000227</v>
      </c>
      <c r="F3" s="4">
        <v>1.5105740181269089E-2</v>
      </c>
      <c r="G3" s="14">
        <v>4.0519602267155657</v>
      </c>
      <c r="H3" s="15">
        <v>41321.079999999994</v>
      </c>
      <c r="I3" s="6">
        <v>4.88</v>
      </c>
      <c r="J3" s="6">
        <v>3.75</v>
      </c>
      <c r="K3" s="6">
        <v>4.7300000000000004</v>
      </c>
      <c r="L3" s="17">
        <v>37.91003717472119</v>
      </c>
      <c r="M3" s="14">
        <v>4.1152800306448051E-2</v>
      </c>
      <c r="N3" s="15" t="s">
        <v>183</v>
      </c>
      <c r="O3" s="15" t="s">
        <v>182</v>
      </c>
      <c r="P3" s="15">
        <v>1.07752</v>
      </c>
      <c r="Q3" s="15">
        <v>0.13441</v>
      </c>
      <c r="R3" s="15" t="s">
        <v>22</v>
      </c>
      <c r="S3" s="14" t="s">
        <v>22</v>
      </c>
      <c r="T3" s="5">
        <v>59.709496000000001</v>
      </c>
      <c r="U3" s="5">
        <v>22.523235</v>
      </c>
    </row>
    <row r="4" spans="1:21" x14ac:dyDescent="0.25">
      <c r="A4" s="19">
        <v>45086</v>
      </c>
      <c r="B4" s="16">
        <v>120</v>
      </c>
      <c r="C4" s="2">
        <v>191.52</v>
      </c>
      <c r="D4" s="15">
        <v>22982.400000000001</v>
      </c>
      <c r="E4" s="3">
        <v>2.8500000000000227</v>
      </c>
      <c r="F4" s="4">
        <v>1.5105740181269089E-2</v>
      </c>
      <c r="G4" s="14">
        <v>3.6941176470588237</v>
      </c>
      <c r="H4" s="15">
        <v>18086.400000000001</v>
      </c>
      <c r="I4" s="6" t="s">
        <v>104</v>
      </c>
      <c r="J4" s="6" t="s">
        <v>104</v>
      </c>
      <c r="K4" s="6" t="s">
        <v>104</v>
      </c>
      <c r="L4" s="17">
        <v>40.799999999999997</v>
      </c>
      <c r="M4" s="14">
        <v>1.8358126530757496E-2</v>
      </c>
      <c r="N4" s="15" t="s">
        <v>22</v>
      </c>
      <c r="O4" s="15" t="s">
        <v>22</v>
      </c>
      <c r="P4" s="15" t="s">
        <v>22</v>
      </c>
      <c r="Q4" s="15" t="s">
        <v>22</v>
      </c>
      <c r="R4" s="15" t="s">
        <v>22</v>
      </c>
      <c r="S4" s="14" t="s">
        <v>104</v>
      </c>
      <c r="T4" s="5" t="s">
        <v>22</v>
      </c>
      <c r="U4" s="5" t="s">
        <v>22</v>
      </c>
    </row>
    <row r="5" spans="1:21" x14ac:dyDescent="0.25">
      <c r="A5" s="19">
        <v>45086</v>
      </c>
      <c r="B5" s="16">
        <v>144</v>
      </c>
      <c r="C5" s="2">
        <v>191.52</v>
      </c>
      <c r="D5" s="15">
        <v>27578.880000000001</v>
      </c>
      <c r="E5" s="3">
        <v>2.8500000000000227</v>
      </c>
      <c r="F5" s="4">
        <v>1.5105740181269089E-2</v>
      </c>
      <c r="G5" s="14">
        <v>4.5593613933236572</v>
      </c>
      <c r="H5" s="15">
        <v>22618.079999999998</v>
      </c>
      <c r="I5" s="6" t="s">
        <v>104</v>
      </c>
      <c r="J5" s="6" t="s">
        <v>104</v>
      </c>
      <c r="K5" s="6" t="s">
        <v>104</v>
      </c>
      <c r="L5" s="17">
        <v>34.450000000000003</v>
      </c>
      <c r="M5" s="14">
        <v>2.2029751836908994E-2</v>
      </c>
      <c r="N5" s="15" t="s">
        <v>22</v>
      </c>
      <c r="O5" s="15" t="s">
        <v>22</v>
      </c>
      <c r="P5" s="15" t="s">
        <v>22</v>
      </c>
      <c r="Q5" s="15" t="s">
        <v>22</v>
      </c>
      <c r="R5" s="15" t="s">
        <v>22</v>
      </c>
      <c r="S5" s="14" t="s">
        <v>104</v>
      </c>
      <c r="T5" s="5" t="s">
        <v>22</v>
      </c>
      <c r="U5" s="5" t="s">
        <v>22</v>
      </c>
    </row>
    <row r="6" spans="1:21" x14ac:dyDescent="0.25">
      <c r="A6" s="19">
        <v>45349</v>
      </c>
      <c r="B6" s="16">
        <v>5</v>
      </c>
      <c r="C6" s="2">
        <v>191.52</v>
      </c>
      <c r="D6" s="15">
        <v>957.6</v>
      </c>
      <c r="E6" s="3">
        <v>2.8500000000000227</v>
      </c>
      <c r="F6" s="4">
        <v>1.5105740181269089E-2</v>
      </c>
      <c r="G6" s="14">
        <v>1.8082111436950146</v>
      </c>
      <c r="H6" s="15">
        <v>616.6</v>
      </c>
      <c r="I6" s="6" t="s">
        <v>104</v>
      </c>
      <c r="J6" s="6" t="s">
        <v>104</v>
      </c>
      <c r="K6" s="6" t="s">
        <v>104</v>
      </c>
      <c r="L6" s="17">
        <v>68.2</v>
      </c>
      <c r="M6" s="14">
        <v>7.6492193878156226E-4</v>
      </c>
      <c r="N6" s="15" t="s">
        <v>22</v>
      </c>
      <c r="O6" s="15" t="s">
        <v>22</v>
      </c>
      <c r="P6" s="15" t="s">
        <v>22</v>
      </c>
      <c r="Q6" s="15" t="s">
        <v>22</v>
      </c>
      <c r="R6" s="15" t="s">
        <v>22</v>
      </c>
      <c r="S6" s="14" t="s">
        <v>104</v>
      </c>
      <c r="T6" s="5" t="s">
        <v>22</v>
      </c>
      <c r="U6" s="5" t="s">
        <v>22</v>
      </c>
    </row>
    <row r="7" spans="1:21" x14ac:dyDescent="0.25">
      <c r="A7" s="1" t="s">
        <v>18</v>
      </c>
      <c r="B7" s="16">
        <v>17</v>
      </c>
      <c r="C7" s="2">
        <v>1733.48</v>
      </c>
      <c r="D7" s="15">
        <v>29469.16</v>
      </c>
      <c r="E7" s="3">
        <v>-7.5099999999999909</v>
      </c>
      <c r="F7" s="4">
        <v>-4.3136376429502299E-3</v>
      </c>
      <c r="G7" s="14">
        <v>3.6895171107804687</v>
      </c>
      <c r="H7" s="15">
        <v>23185.11</v>
      </c>
      <c r="I7" s="6">
        <v>3.47</v>
      </c>
      <c r="J7" s="6">
        <v>3.76</v>
      </c>
      <c r="K7" s="6">
        <v>4.6100000000000003</v>
      </c>
      <c r="L7" s="17">
        <v>369.65</v>
      </c>
      <c r="M7" s="14">
        <v>2.3539689851152946E-2</v>
      </c>
      <c r="N7" s="15" t="s">
        <v>184</v>
      </c>
      <c r="O7" s="15" t="s">
        <v>185</v>
      </c>
      <c r="P7" s="15">
        <v>12.237072155</v>
      </c>
      <c r="Q7" s="15">
        <v>0.782042495</v>
      </c>
      <c r="R7" s="15" t="s">
        <v>130</v>
      </c>
      <c r="S7" s="14">
        <v>5.2134879999999996E-3</v>
      </c>
      <c r="T7" s="5">
        <v>55.272053</v>
      </c>
      <c r="U7" s="5">
        <v>16.623999999999999</v>
      </c>
    </row>
    <row r="8" spans="1:21" x14ac:dyDescent="0.25">
      <c r="A8" s="1" t="s">
        <v>19</v>
      </c>
      <c r="B8" s="16">
        <v>462</v>
      </c>
      <c r="C8" s="2">
        <v>40.880000000000003</v>
      </c>
      <c r="D8" s="15">
        <v>18886.560000000001</v>
      </c>
      <c r="E8" s="3">
        <v>-2.7999999999999972</v>
      </c>
      <c r="F8" s="4">
        <v>-6.4102564102563986E-2</v>
      </c>
      <c r="G8" s="14">
        <v>-5.5671055671055597E-2</v>
      </c>
      <c r="H8" s="15">
        <v>-1113.4199999999985</v>
      </c>
      <c r="I8" s="6">
        <v>3.77</v>
      </c>
      <c r="J8" s="6">
        <v>3.62</v>
      </c>
      <c r="K8" s="6">
        <v>4.25</v>
      </c>
      <c r="L8" s="17">
        <v>43.29</v>
      </c>
      <c r="M8" s="14">
        <v>1.5086407782074254E-2</v>
      </c>
      <c r="N8" s="15" t="s">
        <v>186</v>
      </c>
      <c r="O8" s="15" t="s">
        <v>186</v>
      </c>
      <c r="P8" s="15">
        <v>0.83794999999999997</v>
      </c>
      <c r="Q8" s="15">
        <v>0.17121</v>
      </c>
      <c r="R8" s="15" t="s">
        <v>134</v>
      </c>
      <c r="S8" s="14">
        <v>2.1062272000000003E-2</v>
      </c>
      <c r="T8" s="5">
        <v>12.103676</v>
      </c>
      <c r="U8" s="5">
        <v>3.8902857000000002</v>
      </c>
    </row>
    <row r="9" spans="1:21" x14ac:dyDescent="0.25">
      <c r="A9" s="1" t="s">
        <v>20</v>
      </c>
      <c r="B9" s="16">
        <v>530</v>
      </c>
      <c r="C9" s="2">
        <v>57.05</v>
      </c>
      <c r="D9" s="15">
        <v>30236.5</v>
      </c>
      <c r="E9" s="3">
        <v>-2.2800000000000011</v>
      </c>
      <c r="F9" s="4">
        <v>-3.8429125231754568E-2</v>
      </c>
      <c r="G9" s="14">
        <v>-8.756567425569924E-4</v>
      </c>
      <c r="H9" s="15">
        <v>-26.50000000000226</v>
      </c>
      <c r="I9" s="6">
        <v>3.06</v>
      </c>
      <c r="J9" s="6">
        <v>3.57</v>
      </c>
      <c r="K9" s="6">
        <v>4.57</v>
      </c>
      <c r="L9" s="17">
        <v>57.1</v>
      </c>
      <c r="M9" s="14">
        <v>2.4152633878413439E-2</v>
      </c>
      <c r="N9" s="15" t="s">
        <v>187</v>
      </c>
      <c r="O9" s="15" t="s">
        <v>185</v>
      </c>
      <c r="P9" s="15" t="s">
        <v>22</v>
      </c>
      <c r="Q9" s="15" t="s">
        <v>22</v>
      </c>
      <c r="R9" s="15" t="s">
        <v>138</v>
      </c>
      <c r="S9" s="14">
        <v>5.6077665999999998E-2</v>
      </c>
      <c r="T9" s="5">
        <v>15.479139999999999</v>
      </c>
      <c r="U9" s="5">
        <v>3.7918235999999998</v>
      </c>
    </row>
    <row r="10" spans="1:21" x14ac:dyDescent="0.25">
      <c r="A10" s="1" t="s">
        <v>21</v>
      </c>
      <c r="B10" s="16">
        <v>7052</v>
      </c>
      <c r="C10" s="2">
        <v>51.21</v>
      </c>
      <c r="D10" s="15">
        <v>361132.92</v>
      </c>
      <c r="E10" s="3">
        <v>-8.9999999999996305E-2</v>
      </c>
      <c r="F10" s="4">
        <v>-1.7543859649121751E-3</v>
      </c>
      <c r="G10" s="14">
        <v>0.21958939280217418</v>
      </c>
      <c r="H10" s="15">
        <v>65022.67</v>
      </c>
      <c r="I10" s="6">
        <v>4.0599999999999996</v>
      </c>
      <c r="J10" s="6">
        <v>4.25</v>
      </c>
      <c r="K10" s="6" t="s">
        <v>22</v>
      </c>
      <c r="L10" s="17">
        <v>41.989541973908111</v>
      </c>
      <c r="M10" s="14">
        <v>0.28846960455748416</v>
      </c>
      <c r="N10" s="15" t="s">
        <v>22</v>
      </c>
      <c r="O10" s="15" t="s">
        <v>22</v>
      </c>
      <c r="P10" s="15" t="s">
        <v>22</v>
      </c>
      <c r="Q10" s="15" t="s">
        <v>22</v>
      </c>
      <c r="R10" s="15" t="s">
        <v>142</v>
      </c>
      <c r="S10" s="14">
        <v>1.1424951999999999E-2</v>
      </c>
      <c r="T10" s="5">
        <v>31.676907400000001</v>
      </c>
      <c r="U10" s="5">
        <v>8.4990051999999991</v>
      </c>
    </row>
    <row r="11" spans="1:21" x14ac:dyDescent="0.25">
      <c r="A11" s="19">
        <v>45517</v>
      </c>
      <c r="B11" s="16">
        <v>600</v>
      </c>
      <c r="C11" s="2">
        <v>51.21</v>
      </c>
      <c r="D11" s="15">
        <v>30726</v>
      </c>
      <c r="E11" s="3">
        <v>-8.9999999999996305E-2</v>
      </c>
      <c r="F11" s="4">
        <v>-1.7543859649121751E-3</v>
      </c>
      <c r="G11" s="14">
        <v>0.49912177985948519</v>
      </c>
      <c r="H11" s="15">
        <v>10230.000000000002</v>
      </c>
      <c r="I11" s="6" t="s">
        <v>104</v>
      </c>
      <c r="J11" s="6" t="s">
        <v>104</v>
      </c>
      <c r="K11" s="6" t="s">
        <v>104</v>
      </c>
      <c r="L11" s="17">
        <v>34.159999999999997</v>
      </c>
      <c r="M11" s="14">
        <v>2.454364190789712E-2</v>
      </c>
      <c r="N11" s="15" t="s">
        <v>22</v>
      </c>
      <c r="O11" s="15" t="s">
        <v>22</v>
      </c>
      <c r="P11" s="15" t="s">
        <v>22</v>
      </c>
      <c r="Q11" s="15" t="s">
        <v>22</v>
      </c>
      <c r="R11" s="15" t="s">
        <v>22</v>
      </c>
      <c r="S11" s="14" t="s">
        <v>104</v>
      </c>
      <c r="T11" s="5" t="s">
        <v>22</v>
      </c>
      <c r="U11" s="5" t="s">
        <v>22</v>
      </c>
    </row>
    <row r="12" spans="1:21" x14ac:dyDescent="0.25">
      <c r="A12" s="19">
        <v>45793</v>
      </c>
      <c r="B12" s="16">
        <v>540</v>
      </c>
      <c r="C12" s="2">
        <v>51.21</v>
      </c>
      <c r="D12" s="15">
        <v>27653.4</v>
      </c>
      <c r="E12" s="3">
        <v>-8.9999999999996305E-2</v>
      </c>
      <c r="F12" s="4">
        <v>-1.7543859649121751E-3</v>
      </c>
      <c r="G12" s="14">
        <v>0.37995149555375901</v>
      </c>
      <c r="H12" s="15">
        <v>7614.0000000000009</v>
      </c>
      <c r="I12" s="6" t="s">
        <v>104</v>
      </c>
      <c r="J12" s="6" t="s">
        <v>104</v>
      </c>
      <c r="K12" s="6" t="s">
        <v>104</v>
      </c>
      <c r="L12" s="17">
        <v>37.11</v>
      </c>
      <c r="M12" s="14">
        <v>2.2089277717107406E-2</v>
      </c>
      <c r="N12" s="15" t="s">
        <v>22</v>
      </c>
      <c r="O12" s="15" t="s">
        <v>22</v>
      </c>
      <c r="P12" s="15" t="s">
        <v>22</v>
      </c>
      <c r="Q12" s="15" t="s">
        <v>22</v>
      </c>
      <c r="R12" s="15" t="s">
        <v>22</v>
      </c>
      <c r="S12" s="14" t="s">
        <v>104</v>
      </c>
      <c r="T12" s="5" t="s">
        <v>22</v>
      </c>
      <c r="U12" s="5" t="s">
        <v>22</v>
      </c>
    </row>
    <row r="13" spans="1:21" x14ac:dyDescent="0.25">
      <c r="A13" s="19">
        <v>45905</v>
      </c>
      <c r="B13" s="16">
        <v>1750</v>
      </c>
      <c r="C13" s="2">
        <v>51.21</v>
      </c>
      <c r="D13" s="15">
        <v>89617.5</v>
      </c>
      <c r="E13" s="3">
        <v>-8.9999999999996305E-2</v>
      </c>
      <c r="F13" s="4">
        <v>-1.7543859649121751E-3</v>
      </c>
      <c r="G13" s="14">
        <v>0.24386689336895806</v>
      </c>
      <c r="H13" s="15">
        <v>17570</v>
      </c>
      <c r="I13" s="6" t="s">
        <v>104</v>
      </c>
      <c r="J13" s="6" t="s">
        <v>104</v>
      </c>
      <c r="K13" s="6" t="s">
        <v>104</v>
      </c>
      <c r="L13" s="17">
        <v>41.17</v>
      </c>
      <c r="M13" s="14">
        <v>7.1585622231366608E-2</v>
      </c>
      <c r="N13" s="15" t="s">
        <v>22</v>
      </c>
      <c r="O13" s="15" t="s">
        <v>22</v>
      </c>
      <c r="P13" s="15" t="s">
        <v>22</v>
      </c>
      <c r="Q13" s="15" t="s">
        <v>22</v>
      </c>
      <c r="R13" s="15" t="s">
        <v>22</v>
      </c>
      <c r="S13" s="14" t="s">
        <v>104</v>
      </c>
      <c r="T13" s="5" t="s">
        <v>22</v>
      </c>
      <c r="U13" s="5" t="s">
        <v>22</v>
      </c>
    </row>
    <row r="14" spans="1:21" x14ac:dyDescent="0.25">
      <c r="A14" s="19">
        <v>45981</v>
      </c>
      <c r="B14" s="16">
        <v>2335</v>
      </c>
      <c r="C14" s="2">
        <v>51.21</v>
      </c>
      <c r="D14" s="15">
        <v>119575.35</v>
      </c>
      <c r="E14" s="3">
        <v>-8.9999999999996305E-2</v>
      </c>
      <c r="F14" s="4">
        <v>-1.7543859649121751E-3</v>
      </c>
      <c r="G14" s="14">
        <v>0.19426305970149252</v>
      </c>
      <c r="H14" s="15">
        <v>19450.549999999996</v>
      </c>
      <c r="I14" s="6" t="s">
        <v>104</v>
      </c>
      <c r="J14" s="6" t="s">
        <v>104</v>
      </c>
      <c r="K14" s="6" t="s">
        <v>104</v>
      </c>
      <c r="L14" s="17">
        <v>42.88</v>
      </c>
      <c r="M14" s="14">
        <v>9.5515673091566292E-2</v>
      </c>
      <c r="N14" s="15" t="s">
        <v>22</v>
      </c>
      <c r="O14" s="15" t="s">
        <v>22</v>
      </c>
      <c r="P14" s="15" t="s">
        <v>22</v>
      </c>
      <c r="Q14" s="15" t="s">
        <v>22</v>
      </c>
      <c r="R14" s="15" t="s">
        <v>22</v>
      </c>
      <c r="S14" s="14" t="s">
        <v>104</v>
      </c>
      <c r="T14" s="5" t="s">
        <v>22</v>
      </c>
      <c r="U14" s="5" t="s">
        <v>22</v>
      </c>
    </row>
    <row r="15" spans="1:21" x14ac:dyDescent="0.25">
      <c r="A15" s="19">
        <v>46071</v>
      </c>
      <c r="B15" s="16">
        <v>1827</v>
      </c>
      <c r="C15" s="2">
        <v>51.21</v>
      </c>
      <c r="D15" s="15">
        <v>93560.67</v>
      </c>
      <c r="E15" s="3">
        <v>-8.9999999999996305E-2</v>
      </c>
      <c r="F15" s="4">
        <v>-1.7543859649121751E-3</v>
      </c>
      <c r="G15" s="14">
        <v>0.12179627601314348</v>
      </c>
      <c r="H15" s="15">
        <v>10158.120000000004</v>
      </c>
      <c r="I15" s="6" t="s">
        <v>104</v>
      </c>
      <c r="J15" s="6" t="s">
        <v>104</v>
      </c>
      <c r="K15" s="6" t="s">
        <v>104</v>
      </c>
      <c r="L15" s="17">
        <v>45.65</v>
      </c>
      <c r="M15" s="14">
        <v>7.4735389609546732E-2</v>
      </c>
      <c r="N15" s="15" t="s">
        <v>22</v>
      </c>
      <c r="O15" s="15" t="s">
        <v>22</v>
      </c>
      <c r="P15" s="15" t="s">
        <v>22</v>
      </c>
      <c r="Q15" s="15" t="s">
        <v>22</v>
      </c>
      <c r="R15" s="15" t="s">
        <v>22</v>
      </c>
      <c r="S15" s="14" t="s">
        <v>104</v>
      </c>
      <c r="T15" s="5" t="s">
        <v>22</v>
      </c>
      <c r="U15" s="5" t="s">
        <v>22</v>
      </c>
    </row>
    <row r="16" spans="1:21" x14ac:dyDescent="0.25">
      <c r="A16" s="1" t="s">
        <v>23</v>
      </c>
      <c r="B16" s="16">
        <v>782</v>
      </c>
      <c r="C16" s="2">
        <v>36.54</v>
      </c>
      <c r="D16" s="15">
        <v>28574.28</v>
      </c>
      <c r="E16" s="3">
        <v>2.2299999999999969</v>
      </c>
      <c r="F16" s="4">
        <v>6.4995628096764735E-2</v>
      </c>
      <c r="G16" s="14">
        <v>0.13455371904764168</v>
      </c>
      <c r="H16" s="15">
        <v>3388.7999999999984</v>
      </c>
      <c r="I16" s="6">
        <v>4.3899999999999997</v>
      </c>
      <c r="J16" s="6">
        <v>4</v>
      </c>
      <c r="K16" s="6">
        <v>4.05</v>
      </c>
      <c r="L16" s="17">
        <v>32.206496163682864</v>
      </c>
      <c r="M16" s="14">
        <v>2.2824868062747722E-2</v>
      </c>
      <c r="N16" s="15" t="s">
        <v>188</v>
      </c>
      <c r="O16" s="15" t="s">
        <v>182</v>
      </c>
      <c r="P16" s="15">
        <v>1.21088</v>
      </c>
      <c r="Q16" s="15">
        <v>0.11938</v>
      </c>
      <c r="R16" s="15" t="s">
        <v>22</v>
      </c>
      <c r="S16" s="14" t="s">
        <v>22</v>
      </c>
      <c r="T16" s="5">
        <v>11.590965000000001</v>
      </c>
      <c r="U16" s="5">
        <v>3.4124458</v>
      </c>
    </row>
    <row r="17" spans="1:21" x14ac:dyDescent="0.25">
      <c r="A17" s="19">
        <v>46044</v>
      </c>
      <c r="B17" s="16">
        <v>482</v>
      </c>
      <c r="C17" s="2">
        <v>36.54</v>
      </c>
      <c r="D17" s="15">
        <v>17612.28</v>
      </c>
      <c r="E17" s="3">
        <v>2.2299999999999969</v>
      </c>
      <c r="F17" s="4">
        <v>6.4995628096764735E-2</v>
      </c>
      <c r="G17" s="14">
        <v>0.17341040462427748</v>
      </c>
      <c r="H17" s="15">
        <v>2602.7999999999993</v>
      </c>
      <c r="I17" s="6" t="s">
        <v>104</v>
      </c>
      <c r="J17" s="6" t="s">
        <v>104</v>
      </c>
      <c r="K17" s="6" t="s">
        <v>104</v>
      </c>
      <c r="L17" s="17">
        <v>31.14</v>
      </c>
      <c r="M17" s="14">
        <v>1.4068524816169312E-2</v>
      </c>
      <c r="N17" s="15" t="s">
        <v>22</v>
      </c>
      <c r="O17" s="15" t="s">
        <v>22</v>
      </c>
      <c r="P17" s="15" t="s">
        <v>22</v>
      </c>
      <c r="Q17" s="15" t="s">
        <v>22</v>
      </c>
      <c r="R17" s="15" t="s">
        <v>22</v>
      </c>
      <c r="S17" s="14" t="s">
        <v>104</v>
      </c>
      <c r="T17" s="5" t="s">
        <v>22</v>
      </c>
      <c r="U17" s="5" t="s">
        <v>22</v>
      </c>
    </row>
    <row r="18" spans="1:21" x14ac:dyDescent="0.25">
      <c r="A18" s="19">
        <v>46052</v>
      </c>
      <c r="B18" s="16">
        <v>300</v>
      </c>
      <c r="C18" s="2">
        <v>36.54</v>
      </c>
      <c r="D18" s="15">
        <v>10962</v>
      </c>
      <c r="E18" s="3">
        <v>2.2299999999999969</v>
      </c>
      <c r="F18" s="4">
        <v>6.4995628096764735E-2</v>
      </c>
      <c r="G18" s="14">
        <v>7.7240566037735769E-2</v>
      </c>
      <c r="H18" s="15">
        <v>785.9999999999992</v>
      </c>
      <c r="I18" s="6" t="s">
        <v>104</v>
      </c>
      <c r="J18" s="6" t="s">
        <v>104</v>
      </c>
      <c r="K18" s="6" t="s">
        <v>104</v>
      </c>
      <c r="L18" s="17">
        <v>33.92</v>
      </c>
      <c r="M18" s="14">
        <v>8.7563432465784102E-3</v>
      </c>
      <c r="N18" s="15" t="s">
        <v>22</v>
      </c>
      <c r="O18" s="15" t="s">
        <v>22</v>
      </c>
      <c r="P18" s="15" t="s">
        <v>22</v>
      </c>
      <c r="Q18" s="15" t="s">
        <v>22</v>
      </c>
      <c r="R18" s="15" t="s">
        <v>22</v>
      </c>
      <c r="S18" s="14" t="s">
        <v>104</v>
      </c>
      <c r="T18" s="5" t="s">
        <v>22</v>
      </c>
      <c r="U18" s="5" t="s">
        <v>22</v>
      </c>
    </row>
    <row r="19" spans="1:21" x14ac:dyDescent="0.25">
      <c r="A19" s="1" t="s">
        <v>24</v>
      </c>
      <c r="B19" s="16">
        <v>470</v>
      </c>
      <c r="C19" s="2">
        <v>42.53</v>
      </c>
      <c r="D19" s="15">
        <v>19989.100000000002</v>
      </c>
      <c r="E19" s="3">
        <v>-1.8999999999999986</v>
      </c>
      <c r="F19" s="4">
        <v>-4.2763898266936717E-2</v>
      </c>
      <c r="G19" s="14">
        <v>-6.7725361980382802E-3</v>
      </c>
      <c r="H19" s="15">
        <v>-136.29999999999961</v>
      </c>
      <c r="I19" s="6">
        <v>2.68</v>
      </c>
      <c r="J19" s="6">
        <v>3.5</v>
      </c>
      <c r="K19" s="6">
        <v>4.6100000000000003</v>
      </c>
      <c r="L19" s="17">
        <v>42.82</v>
      </c>
      <c r="M19" s="14">
        <v>1.5967106439534803E-2</v>
      </c>
      <c r="N19" s="15" t="s">
        <v>189</v>
      </c>
      <c r="O19" s="15" t="s">
        <v>182</v>
      </c>
      <c r="P19" s="15">
        <v>-1.48922</v>
      </c>
      <c r="Q19" s="15">
        <v>-4.4813499999999999</v>
      </c>
      <c r="R19" s="15" t="s">
        <v>22</v>
      </c>
      <c r="S19" s="14" t="s">
        <v>22</v>
      </c>
      <c r="T19" s="5" t="s">
        <v>186</v>
      </c>
      <c r="U19" s="5">
        <v>61.652588000000002</v>
      </c>
    </row>
    <row r="20" spans="1:21" x14ac:dyDescent="0.25">
      <c r="A20" s="1" t="s">
        <v>25</v>
      </c>
      <c r="B20" s="16">
        <v>325</v>
      </c>
      <c r="C20" s="2">
        <v>62.16</v>
      </c>
      <c r="D20" s="15">
        <v>20202</v>
      </c>
      <c r="E20" s="3">
        <v>3.9299999999999997</v>
      </c>
      <c r="F20" s="4">
        <v>6.749098402885112E-2</v>
      </c>
      <c r="G20" s="14">
        <v>9.5825889231768123E-3</v>
      </c>
      <c r="H20" s="15">
        <v>191.74999999999881</v>
      </c>
      <c r="I20" s="6">
        <v>1.7</v>
      </c>
      <c r="J20" s="6">
        <v>4</v>
      </c>
      <c r="K20" s="6">
        <v>4.3600000000000003</v>
      </c>
      <c r="L20" s="17">
        <v>61.57</v>
      </c>
      <c r="M20" s="14">
        <v>1.613716897166366E-2</v>
      </c>
      <c r="N20" s="15" t="s">
        <v>190</v>
      </c>
      <c r="O20" s="15" t="s">
        <v>182</v>
      </c>
      <c r="P20" s="15">
        <v>0.14928</v>
      </c>
      <c r="Q20" s="15">
        <v>8.94E-3</v>
      </c>
      <c r="R20" s="15" t="s">
        <v>22</v>
      </c>
      <c r="S20" s="14" t="s">
        <v>22</v>
      </c>
      <c r="T20" s="5">
        <v>215.63791000000001</v>
      </c>
      <c r="U20" s="5">
        <v>13.078322</v>
      </c>
    </row>
    <row r="21" spans="1:21" x14ac:dyDescent="0.25">
      <c r="A21" s="1" t="s">
        <v>26</v>
      </c>
      <c r="B21" s="16">
        <v>220</v>
      </c>
      <c r="C21" s="2">
        <v>62.42</v>
      </c>
      <c r="D21" s="15">
        <v>13732.4</v>
      </c>
      <c r="E21" s="3">
        <v>1.6499999999999986</v>
      </c>
      <c r="F21" s="4">
        <v>2.7151555043607001E-2</v>
      </c>
      <c r="G21" s="14">
        <v>-0.32277313659542151</v>
      </c>
      <c r="H21" s="15">
        <v>-6545</v>
      </c>
      <c r="I21" s="6">
        <v>2.83</v>
      </c>
      <c r="J21" s="6">
        <v>4</v>
      </c>
      <c r="K21" s="6">
        <v>4.57</v>
      </c>
      <c r="L21" s="17">
        <v>92.17</v>
      </c>
      <c r="M21" s="14">
        <v>1.0969312899043364E-2</v>
      </c>
      <c r="N21" s="15" t="s">
        <v>188</v>
      </c>
      <c r="O21" s="15" t="s">
        <v>182</v>
      </c>
      <c r="P21" s="15">
        <v>0.20352000000000001</v>
      </c>
      <c r="Q21" s="15">
        <v>5.8229999999999997E-2</v>
      </c>
      <c r="R21" s="15" t="s">
        <v>22</v>
      </c>
      <c r="S21" s="14" t="s">
        <v>22</v>
      </c>
      <c r="T21" s="5">
        <v>359.74545000000001</v>
      </c>
      <c r="U21" s="5">
        <v>7.0489215999999999</v>
      </c>
    </row>
    <row r="22" spans="1:21" x14ac:dyDescent="0.25">
      <c r="A22" s="1" t="s">
        <v>27</v>
      </c>
      <c r="B22" s="16">
        <v>140</v>
      </c>
      <c r="C22" s="2">
        <v>289.72000000000003</v>
      </c>
      <c r="D22" s="15">
        <v>40560.800000000003</v>
      </c>
      <c r="E22" s="3">
        <v>3.0500000000000114</v>
      </c>
      <c r="F22" s="4">
        <v>1.0639411169637514E-2</v>
      </c>
      <c r="G22" s="14">
        <v>-2.6850258175558439E-3</v>
      </c>
      <c r="H22" s="15">
        <v>-109.19999999999618</v>
      </c>
      <c r="I22" s="6">
        <v>3.27</v>
      </c>
      <c r="J22" s="6">
        <v>3.8</v>
      </c>
      <c r="K22" s="6">
        <v>4.3499999999999996</v>
      </c>
      <c r="L22" s="17">
        <v>290.5</v>
      </c>
      <c r="M22" s="14">
        <v>3.2399588319268167E-2</v>
      </c>
      <c r="N22" s="15" t="s">
        <v>191</v>
      </c>
      <c r="O22" s="15" t="s">
        <v>182</v>
      </c>
      <c r="P22" s="15">
        <v>2.9551799999999999</v>
      </c>
      <c r="Q22" s="15">
        <v>0.80262</v>
      </c>
      <c r="R22" s="15" t="s">
        <v>144</v>
      </c>
      <c r="S22" s="14">
        <v>1.7092824E-2</v>
      </c>
      <c r="T22" s="5">
        <v>28.965641000000002</v>
      </c>
      <c r="U22" s="5">
        <v>2.3351628999999998</v>
      </c>
    </row>
    <row r="23" spans="1:21" x14ac:dyDescent="0.25">
      <c r="A23" s="1" t="s">
        <v>28</v>
      </c>
      <c r="B23" s="16">
        <v>70</v>
      </c>
      <c r="C23" s="2">
        <v>603.16</v>
      </c>
      <c r="D23" s="15">
        <v>42221.2</v>
      </c>
      <c r="E23" s="3">
        <v>15.209999999999923</v>
      </c>
      <c r="F23" s="4">
        <v>2.586954673016395E-2</v>
      </c>
      <c r="G23" s="14">
        <v>4.4798241377586572E-3</v>
      </c>
      <c r="H23" s="15">
        <v>188.29999999999586</v>
      </c>
      <c r="I23" s="6">
        <v>4.62</v>
      </c>
      <c r="J23" s="6">
        <v>4.1100000000000003</v>
      </c>
      <c r="K23" s="6">
        <v>3.47</v>
      </c>
      <c r="L23" s="17">
        <v>600.47</v>
      </c>
      <c r="M23" s="14">
        <v>3.3725900335927421E-2</v>
      </c>
      <c r="N23" s="15" t="s">
        <v>192</v>
      </c>
      <c r="O23" s="15" t="s">
        <v>193</v>
      </c>
      <c r="P23" s="15">
        <v>7.43832</v>
      </c>
      <c r="Q23" s="15">
        <v>0.75663000000000002</v>
      </c>
      <c r="R23" s="15" t="s">
        <v>125</v>
      </c>
      <c r="S23" s="14">
        <v>2.3216260000000002E-2</v>
      </c>
      <c r="T23" s="5">
        <v>21.664797</v>
      </c>
      <c r="U23" s="5">
        <v>1.7616208</v>
      </c>
    </row>
    <row r="24" spans="1:21" x14ac:dyDescent="0.25">
      <c r="A24" s="1" t="s">
        <v>29</v>
      </c>
      <c r="B24" s="16">
        <v>540</v>
      </c>
      <c r="C24" s="2">
        <v>25.39</v>
      </c>
      <c r="D24" s="15">
        <v>13710.6</v>
      </c>
      <c r="E24" s="3">
        <v>-0.16000000000000014</v>
      </c>
      <c r="F24" s="4">
        <v>-6.2622309197651882E-3</v>
      </c>
      <c r="G24" s="14">
        <v>-0.13639455782312918</v>
      </c>
      <c r="H24" s="15">
        <v>-2165.3999999999987</v>
      </c>
      <c r="I24" s="6" t="s">
        <v>22</v>
      </c>
      <c r="J24" s="6">
        <v>4</v>
      </c>
      <c r="K24" s="6" t="s">
        <v>22</v>
      </c>
      <c r="L24" s="17">
        <v>29.4</v>
      </c>
      <c r="M24" s="14">
        <v>1.0951899262592405E-2</v>
      </c>
      <c r="N24" s="15" t="s">
        <v>22</v>
      </c>
      <c r="O24" s="15" t="s">
        <v>22</v>
      </c>
      <c r="P24" s="15" t="s">
        <v>22</v>
      </c>
      <c r="Q24" s="15" t="s">
        <v>22</v>
      </c>
      <c r="R24" s="15" t="s">
        <v>22</v>
      </c>
      <c r="S24" s="14" t="s">
        <v>22</v>
      </c>
      <c r="T24" s="5">
        <v>54.269734100000001</v>
      </c>
      <c r="U24" s="5">
        <v>20.045146599999999</v>
      </c>
    </row>
    <row r="25" spans="1:21" x14ac:dyDescent="0.25">
      <c r="A25" s="1" t="s">
        <v>30</v>
      </c>
      <c r="B25" s="16">
        <v>180</v>
      </c>
      <c r="C25" s="2">
        <v>164.92</v>
      </c>
      <c r="D25" s="15">
        <v>29685.599999999999</v>
      </c>
      <c r="E25" s="3">
        <v>1.5099999999999909</v>
      </c>
      <c r="F25" s="4">
        <v>9.2405605532097645E-3</v>
      </c>
      <c r="G25" s="14">
        <v>2.3094688221708733E-3</v>
      </c>
      <c r="H25" s="15">
        <v>68.399999999999181</v>
      </c>
      <c r="I25" s="6">
        <v>3.6</v>
      </c>
      <c r="J25" s="6">
        <v>4</v>
      </c>
      <c r="K25" s="6">
        <v>4.55</v>
      </c>
      <c r="L25" s="17">
        <v>164.54</v>
      </c>
      <c r="M25" s="14">
        <v>2.3712580102228431E-2</v>
      </c>
      <c r="N25" s="15" t="s">
        <v>194</v>
      </c>
      <c r="O25" s="15" t="s">
        <v>182</v>
      </c>
      <c r="P25" s="15">
        <v>2.72851</v>
      </c>
      <c r="Q25" s="15">
        <v>0.89046000000000003</v>
      </c>
      <c r="R25" s="15" t="s">
        <v>22</v>
      </c>
      <c r="S25" s="14" t="s">
        <v>22</v>
      </c>
      <c r="T25" s="5">
        <v>23.949862</v>
      </c>
      <c r="U25" s="5">
        <v>4.8554649999999997</v>
      </c>
    </row>
    <row r="26" spans="1:21" x14ac:dyDescent="0.25">
      <c r="A26" s="1" t="s">
        <v>31</v>
      </c>
      <c r="B26" s="16">
        <v>150</v>
      </c>
      <c r="C26" s="2">
        <v>117.26</v>
      </c>
      <c r="D26" s="15">
        <v>17589</v>
      </c>
      <c r="E26" s="3">
        <v>4.2800000000000011</v>
      </c>
      <c r="F26" s="4">
        <v>3.7882811117011972E-2</v>
      </c>
      <c r="G26" s="14">
        <v>0.18660190244889713</v>
      </c>
      <c r="H26" s="15">
        <v>2766.0000000000018</v>
      </c>
      <c r="I26" s="6">
        <v>3.06</v>
      </c>
      <c r="J26" s="6">
        <v>3.91</v>
      </c>
      <c r="K26" s="6">
        <v>4.43</v>
      </c>
      <c r="L26" s="17">
        <v>98.82</v>
      </c>
      <c r="M26" s="14">
        <v>1.404992896953728E-2</v>
      </c>
      <c r="N26" s="15" t="s">
        <v>187</v>
      </c>
      <c r="O26" s="15" t="s">
        <v>182</v>
      </c>
      <c r="P26" s="15">
        <v>2.0907100000000001</v>
      </c>
      <c r="Q26" s="15">
        <v>0.11292000000000001</v>
      </c>
      <c r="R26" s="15" t="s">
        <v>150</v>
      </c>
      <c r="S26" s="14">
        <v>9.0281470000000003E-3</v>
      </c>
      <c r="T26" s="5">
        <v>14.295337999999999</v>
      </c>
      <c r="U26" s="5">
        <v>4.7551829999999997</v>
      </c>
    </row>
    <row r="27" spans="1:21" x14ac:dyDescent="0.25">
      <c r="A27" s="1" t="s">
        <v>32</v>
      </c>
      <c r="B27" s="16">
        <v>70</v>
      </c>
      <c r="C27" s="2">
        <v>577.89</v>
      </c>
      <c r="D27" s="15">
        <v>40452.299999999996</v>
      </c>
      <c r="E27" s="3">
        <v>6.3099999999999454</v>
      </c>
      <c r="F27" s="4">
        <v>1.1039574512754058E-2</v>
      </c>
      <c r="G27" s="14">
        <v>3.9261331063356513E-3</v>
      </c>
      <c r="H27" s="15">
        <v>158.19999999999936</v>
      </c>
      <c r="I27" s="6">
        <v>3.3</v>
      </c>
      <c r="J27" s="6">
        <v>3.66</v>
      </c>
      <c r="K27" s="6">
        <v>4.04</v>
      </c>
      <c r="L27" s="17">
        <v>575.63</v>
      </c>
      <c r="M27" s="14">
        <v>3.231291953234481E-2</v>
      </c>
      <c r="N27" s="15" t="s">
        <v>191</v>
      </c>
      <c r="O27" s="15" t="s">
        <v>182</v>
      </c>
      <c r="P27" s="15">
        <v>7.1523700000000003</v>
      </c>
      <c r="Q27" s="15">
        <v>0.86273999999999995</v>
      </c>
      <c r="R27" s="15" t="s">
        <v>152</v>
      </c>
      <c r="S27" s="14">
        <v>1.6445642E-2</v>
      </c>
      <c r="T27" s="5">
        <v>18.145614999999999</v>
      </c>
      <c r="U27" s="5">
        <v>1.8982927000000001</v>
      </c>
    </row>
    <row r="28" spans="1:21" x14ac:dyDescent="0.25">
      <c r="A28" s="1" t="s">
        <v>33</v>
      </c>
      <c r="B28" s="16">
        <v>3485</v>
      </c>
      <c r="C28" s="2">
        <v>9.31</v>
      </c>
      <c r="D28" s="15">
        <v>32445.350000000002</v>
      </c>
      <c r="E28" s="3">
        <v>0.20000000000000107</v>
      </c>
      <c r="F28" s="4">
        <v>2.1953896816685026E-2</v>
      </c>
      <c r="G28" s="14">
        <v>9.0775990748087163E-2</v>
      </c>
      <c r="H28" s="15">
        <v>2700.1500000000024</v>
      </c>
      <c r="I28" s="6">
        <v>4.82</v>
      </c>
      <c r="J28" s="6">
        <v>3.9</v>
      </c>
      <c r="K28" s="6">
        <v>4.75</v>
      </c>
      <c r="L28" s="17">
        <v>8.5352080344332855</v>
      </c>
      <c r="M28" s="14">
        <v>2.5917042634133632E-2</v>
      </c>
      <c r="N28" s="15" t="s">
        <v>195</v>
      </c>
      <c r="O28" s="15" t="s">
        <v>185</v>
      </c>
      <c r="P28" s="15">
        <v>-9.8570000000000005E-2</v>
      </c>
      <c r="Q28" s="15">
        <v>0.61875000000000002</v>
      </c>
      <c r="R28" s="15" t="s">
        <v>22</v>
      </c>
      <c r="S28" s="14" t="s">
        <v>22</v>
      </c>
      <c r="T28" s="5">
        <v>20.824665</v>
      </c>
      <c r="U28" s="5">
        <v>28.93083</v>
      </c>
    </row>
    <row r="29" spans="1:21" ht="15" x14ac:dyDescent="0.25">
      <c r="A29" s="19">
        <v>46226</v>
      </c>
      <c r="B29" s="16">
        <v>1885</v>
      </c>
      <c r="C29" s="2">
        <v>9.31</v>
      </c>
      <c r="D29" s="15">
        <v>17549.350000000002</v>
      </c>
      <c r="E29" s="3">
        <v>0.20000000000000107</v>
      </c>
      <c r="F29" s="4">
        <v>2.1953896816685026E-2</v>
      </c>
      <c r="G29" s="14">
        <v>0.17550505050505058</v>
      </c>
      <c r="H29" s="15">
        <v>2620.150000000001</v>
      </c>
      <c r="I29" s="6" t="s">
        <v>104</v>
      </c>
      <c r="J29" s="6" t="s">
        <v>104</v>
      </c>
      <c r="K29" s="6" t="s">
        <v>104</v>
      </c>
      <c r="L29" s="17">
        <v>7.92</v>
      </c>
      <c r="M29" s="14">
        <v>1.4018256919753771E-2</v>
      </c>
      <c r="N29" s="15" t="s">
        <v>22</v>
      </c>
      <c r="O29" s="15" t="s">
        <v>22</v>
      </c>
      <c r="P29" s="15" t="s">
        <v>22</v>
      </c>
      <c r="Q29" s="15" t="s">
        <v>22</v>
      </c>
      <c r="R29" s="15" t="s">
        <v>22</v>
      </c>
      <c r="S29" s="14" t="s">
        <v>104</v>
      </c>
      <c r="T29" s="5" t="s">
        <v>22</v>
      </c>
      <c r="U29" s="5" t="s">
        <v>22</v>
      </c>
    </row>
    <row r="30" spans="1:21" ht="15" x14ac:dyDescent="0.25">
      <c r="A30" s="19">
        <v>46244</v>
      </c>
      <c r="B30" s="16">
        <v>1600</v>
      </c>
      <c r="C30" s="2">
        <v>9.31</v>
      </c>
      <c r="D30" s="15">
        <v>14896</v>
      </c>
      <c r="E30" s="3">
        <v>0.20000000000000107</v>
      </c>
      <c r="F30" s="4">
        <v>2.1953896816685026E-2</v>
      </c>
      <c r="G30" s="14">
        <v>5.3995680345573227E-3</v>
      </c>
      <c r="H30" s="15">
        <v>80.000000000001137</v>
      </c>
      <c r="I30" s="6" t="s">
        <v>104</v>
      </c>
      <c r="J30" s="6" t="s">
        <v>104</v>
      </c>
      <c r="K30" s="6" t="s">
        <v>104</v>
      </c>
      <c r="L30" s="17">
        <v>9.26</v>
      </c>
      <c r="M30" s="14">
        <v>1.1898785714379858E-2</v>
      </c>
      <c r="N30" s="15" t="s">
        <v>22</v>
      </c>
      <c r="O30" s="15" t="s">
        <v>22</v>
      </c>
      <c r="P30" s="15" t="s">
        <v>22</v>
      </c>
      <c r="Q30" s="15" t="s">
        <v>22</v>
      </c>
      <c r="R30" s="15" t="s">
        <v>22</v>
      </c>
      <c r="S30" s="14" t="s">
        <v>104</v>
      </c>
      <c r="T30" s="5" t="s">
        <v>22</v>
      </c>
      <c r="U30" s="5" t="s">
        <v>22</v>
      </c>
    </row>
    <row r="31" spans="1:21" ht="18.75" x14ac:dyDescent="0.25">
      <c r="A31" s="1" t="s">
        <v>34</v>
      </c>
      <c r="B31" s="16">
        <v>890</v>
      </c>
      <c r="C31" s="2">
        <v>151.05000000000001</v>
      </c>
      <c r="D31" s="15">
        <v>134434.5</v>
      </c>
      <c r="E31" s="3">
        <v>4.0300000000000011</v>
      </c>
      <c r="F31" s="4">
        <v>2.7411236566453612E-2</v>
      </c>
      <c r="G31" s="14">
        <v>0.79821428571428588</v>
      </c>
      <c r="H31" s="15">
        <v>59674.500000000007</v>
      </c>
      <c r="I31" s="6">
        <v>3.18</v>
      </c>
      <c r="J31" s="6">
        <v>3.57</v>
      </c>
      <c r="K31" s="6">
        <v>4.45</v>
      </c>
      <c r="L31" s="17">
        <v>84</v>
      </c>
      <c r="M31" s="14">
        <v>0.10738502337001872</v>
      </c>
      <c r="N31" s="15" t="s">
        <v>144</v>
      </c>
      <c r="O31" s="15" t="s">
        <v>182</v>
      </c>
      <c r="P31" s="15">
        <v>1.7387300000000001</v>
      </c>
      <c r="Q31" s="15">
        <v>0.14759</v>
      </c>
      <c r="R31" s="15" t="s">
        <v>155</v>
      </c>
      <c r="S31" s="14">
        <v>1.3603591999999999E-2</v>
      </c>
      <c r="T31" s="5">
        <v>25.217838</v>
      </c>
      <c r="U31" s="5">
        <v>6.2425170000000003</v>
      </c>
    </row>
    <row r="32" spans="1:21" ht="15" x14ac:dyDescent="0.25">
      <c r="A32" s="19">
        <v>44931</v>
      </c>
      <c r="B32" s="16">
        <v>445</v>
      </c>
      <c r="C32" s="2">
        <v>151.05000000000001</v>
      </c>
      <c r="D32" s="15">
        <v>67217.25</v>
      </c>
      <c r="E32" s="3">
        <v>4.0300000000000011</v>
      </c>
      <c r="F32" s="4">
        <v>2.7411236566453612E-2</v>
      </c>
      <c r="G32" s="14">
        <v>0.79821428571428588</v>
      </c>
      <c r="H32" s="15">
        <v>29837.250000000004</v>
      </c>
      <c r="I32" s="6" t="s">
        <v>104</v>
      </c>
      <c r="J32" s="6" t="s">
        <v>104</v>
      </c>
      <c r="K32" s="6" t="s">
        <v>104</v>
      </c>
      <c r="L32" s="17">
        <v>84</v>
      </c>
      <c r="M32" s="14">
        <v>5.369251168500936E-2</v>
      </c>
      <c r="N32" s="15" t="s">
        <v>22</v>
      </c>
      <c r="O32" s="15" t="s">
        <v>22</v>
      </c>
      <c r="P32" s="15" t="s">
        <v>22</v>
      </c>
      <c r="Q32" s="15" t="s">
        <v>22</v>
      </c>
      <c r="R32" s="15" t="s">
        <v>22</v>
      </c>
      <c r="S32" s="14" t="s">
        <v>104</v>
      </c>
      <c r="T32" s="5" t="s">
        <v>22</v>
      </c>
      <c r="U32" s="5" t="s">
        <v>22</v>
      </c>
    </row>
    <row r="33" spans="1:21" ht="15" x14ac:dyDescent="0.25">
      <c r="A33" s="19">
        <v>46034</v>
      </c>
      <c r="B33" s="16">
        <v>445</v>
      </c>
      <c r="C33" s="2">
        <v>151.05000000000001</v>
      </c>
      <c r="D33" s="15">
        <v>67217.25</v>
      </c>
      <c r="E33" s="3">
        <v>4.0300000000000011</v>
      </c>
      <c r="F33" s="4">
        <v>2.7411236566453612E-2</v>
      </c>
      <c r="G33" s="14">
        <v>0.79821428571428588</v>
      </c>
      <c r="H33" s="15">
        <v>29837.250000000004</v>
      </c>
      <c r="I33" s="6" t="s">
        <v>104</v>
      </c>
      <c r="J33" s="6" t="s">
        <v>104</v>
      </c>
      <c r="K33" s="6" t="s">
        <v>104</v>
      </c>
      <c r="L33" s="17">
        <v>84</v>
      </c>
      <c r="M33" s="14">
        <v>5.369251168500936E-2</v>
      </c>
      <c r="N33" s="15" t="s">
        <v>22</v>
      </c>
      <c r="O33" s="15" t="s">
        <v>22</v>
      </c>
      <c r="P33" s="15" t="s">
        <v>22</v>
      </c>
      <c r="Q33" s="15" t="s">
        <v>22</v>
      </c>
      <c r="R33" s="15" t="s">
        <v>22</v>
      </c>
      <c r="S33" s="14" t="s">
        <v>104</v>
      </c>
      <c r="T33" s="5" t="s">
        <v>22</v>
      </c>
      <c r="U33" s="5" t="s">
        <v>22</v>
      </c>
    </row>
    <row r="34" spans="1:21" ht="18.75" x14ac:dyDescent="0.25">
      <c r="A34" s="1" t="s">
        <v>35</v>
      </c>
      <c r="B34" s="16">
        <v>400</v>
      </c>
      <c r="C34" s="2">
        <v>51.8</v>
      </c>
      <c r="D34" s="15">
        <v>20720</v>
      </c>
      <c r="E34" s="3">
        <v>0.57999999999999829</v>
      </c>
      <c r="F34" s="4">
        <v>1.1323701679031517E-2</v>
      </c>
      <c r="G34" s="14">
        <v>3.4965034965034968E-2</v>
      </c>
      <c r="H34" s="15">
        <v>700</v>
      </c>
      <c r="I34" s="6">
        <v>2.78</v>
      </c>
      <c r="J34" s="6">
        <v>4</v>
      </c>
      <c r="K34" s="6">
        <v>4.22</v>
      </c>
      <c r="L34" s="17">
        <v>50.05</v>
      </c>
      <c r="M34" s="14">
        <v>1.6550942535039651E-2</v>
      </c>
      <c r="N34" s="15" t="s">
        <v>196</v>
      </c>
      <c r="O34" s="15" t="s">
        <v>182</v>
      </c>
      <c r="P34" s="15">
        <v>0.84250000000000003</v>
      </c>
      <c r="Q34" s="15">
        <v>2.7779999999999999E-2</v>
      </c>
      <c r="R34" s="15" t="s">
        <v>159</v>
      </c>
      <c r="S34" s="14">
        <v>1.2104647E-2</v>
      </c>
      <c r="T34" s="5">
        <v>16.095886</v>
      </c>
      <c r="U34" s="5">
        <v>5.0776462999999996</v>
      </c>
    </row>
    <row r="35" spans="1:21" ht="18.75" x14ac:dyDescent="0.25">
      <c r="A35" s="1" t="s">
        <v>36</v>
      </c>
      <c r="B35" s="16">
        <v>245</v>
      </c>
      <c r="C35" s="2">
        <v>186</v>
      </c>
      <c r="D35" s="15">
        <v>45570</v>
      </c>
      <c r="E35" s="3">
        <v>-3.5699999999999932</v>
      </c>
      <c r="F35" s="4">
        <v>-1.8832093685709705E-2</v>
      </c>
      <c r="G35" s="14">
        <v>0.14059447573827649</v>
      </c>
      <c r="H35" s="15">
        <v>5617.15</v>
      </c>
      <c r="I35" s="6">
        <v>3.11</v>
      </c>
      <c r="J35" s="6">
        <v>3.22</v>
      </c>
      <c r="K35" s="6">
        <v>4.25</v>
      </c>
      <c r="L35" s="17">
        <v>163.07285714285715</v>
      </c>
      <c r="M35" s="14">
        <v>3.6400890507806802E-2</v>
      </c>
      <c r="N35" s="15" t="s">
        <v>197</v>
      </c>
      <c r="O35" s="15" t="s">
        <v>185</v>
      </c>
      <c r="P35" s="15">
        <v>2.2495099999999999</v>
      </c>
      <c r="Q35" s="15">
        <v>0.14992</v>
      </c>
      <c r="R35" s="15" t="s">
        <v>161</v>
      </c>
      <c r="S35" s="14">
        <v>3.1017566E-2</v>
      </c>
      <c r="T35" s="5">
        <v>27.27684</v>
      </c>
      <c r="U35" s="5">
        <v>6.9376072999999998</v>
      </c>
    </row>
    <row r="36" spans="1:21" ht="15" x14ac:dyDescent="0.25">
      <c r="A36" s="19">
        <v>46008</v>
      </c>
      <c r="B36" s="16">
        <v>190</v>
      </c>
      <c r="C36" s="2">
        <v>186</v>
      </c>
      <c r="D36" s="15">
        <v>35340</v>
      </c>
      <c r="E36" s="3">
        <v>-3.5699999999999932</v>
      </c>
      <c r="F36" s="4">
        <v>-1.8832093685709705E-2</v>
      </c>
      <c r="G36" s="14">
        <v>0.18170266836086402</v>
      </c>
      <c r="H36" s="15">
        <v>5433.9999999999991</v>
      </c>
      <c r="I36" s="6" t="s">
        <v>104</v>
      </c>
      <c r="J36" s="6" t="s">
        <v>104</v>
      </c>
      <c r="K36" s="6" t="s">
        <v>104</v>
      </c>
      <c r="L36" s="17">
        <v>157.4</v>
      </c>
      <c r="M36" s="14">
        <v>2.8229262026462417E-2</v>
      </c>
      <c r="N36" s="15" t="s">
        <v>22</v>
      </c>
      <c r="O36" s="15" t="s">
        <v>22</v>
      </c>
      <c r="P36" s="15" t="s">
        <v>22</v>
      </c>
      <c r="Q36" s="15" t="s">
        <v>22</v>
      </c>
      <c r="R36" s="15" t="s">
        <v>22</v>
      </c>
      <c r="S36" s="14" t="s">
        <v>104</v>
      </c>
      <c r="T36" s="5" t="s">
        <v>22</v>
      </c>
      <c r="U36" s="5" t="s">
        <v>22</v>
      </c>
    </row>
    <row r="37" spans="1:21" ht="15" x14ac:dyDescent="0.25">
      <c r="A37" s="19">
        <v>46071</v>
      </c>
      <c r="B37" s="16">
        <v>55</v>
      </c>
      <c r="C37" s="2">
        <v>186</v>
      </c>
      <c r="D37" s="15">
        <v>10230</v>
      </c>
      <c r="E37" s="3">
        <v>-3.5699999999999932</v>
      </c>
      <c r="F37" s="4">
        <v>-1.8832093685709705E-2</v>
      </c>
      <c r="G37" s="14">
        <v>1.8229594350468226E-2</v>
      </c>
      <c r="H37" s="15">
        <v>183.15000000000069</v>
      </c>
      <c r="I37" s="6" t="s">
        <v>104</v>
      </c>
      <c r="J37" s="6" t="s">
        <v>104</v>
      </c>
      <c r="K37" s="6" t="s">
        <v>104</v>
      </c>
      <c r="L37" s="17">
        <v>182.67</v>
      </c>
      <c r="M37" s="14">
        <v>8.1716284813443847E-3</v>
      </c>
      <c r="N37" s="15" t="s">
        <v>22</v>
      </c>
      <c r="O37" s="15" t="s">
        <v>22</v>
      </c>
      <c r="P37" s="15" t="s">
        <v>22</v>
      </c>
      <c r="Q37" s="15" t="s">
        <v>22</v>
      </c>
      <c r="R37" s="15" t="s">
        <v>22</v>
      </c>
      <c r="S37" s="14" t="s">
        <v>104</v>
      </c>
      <c r="T37" s="5" t="s">
        <v>22</v>
      </c>
      <c r="U37" s="5" t="s">
        <v>22</v>
      </c>
    </row>
    <row r="38" spans="1:21" ht="18.75" x14ac:dyDescent="0.25">
      <c r="A38" s="1" t="s">
        <v>37</v>
      </c>
      <c r="B38" s="16">
        <v>495</v>
      </c>
      <c r="C38" s="2">
        <v>184.02</v>
      </c>
      <c r="D38" s="15">
        <v>91089.9</v>
      </c>
      <c r="E38" s="3">
        <v>0.24000000000000909</v>
      </c>
      <c r="F38" s="4">
        <v>1.3059092393079563E-3</v>
      </c>
      <c r="G38" s="14">
        <v>0.25112146426285537</v>
      </c>
      <c r="H38" s="15">
        <v>18283.300000000003</v>
      </c>
      <c r="I38" s="6">
        <v>4.32</v>
      </c>
      <c r="J38" s="6">
        <v>5</v>
      </c>
      <c r="K38" s="6" t="s">
        <v>22</v>
      </c>
      <c r="L38" s="17">
        <v>147.08404040404039</v>
      </c>
      <c r="M38" s="14">
        <v>7.2761761603402919E-2</v>
      </c>
      <c r="N38" s="15" t="s">
        <v>22</v>
      </c>
      <c r="O38" s="15" t="s">
        <v>22</v>
      </c>
      <c r="P38" s="15" t="s">
        <v>22</v>
      </c>
      <c r="Q38" s="15" t="s">
        <v>22</v>
      </c>
      <c r="R38" s="15" t="s">
        <v>163</v>
      </c>
      <c r="S38" s="14">
        <v>3.4656656000000004E-3</v>
      </c>
      <c r="T38" s="5">
        <v>39.489698500000003</v>
      </c>
      <c r="U38" s="5">
        <v>5.6847270999999999</v>
      </c>
    </row>
    <row r="39" spans="1:21" ht="15" x14ac:dyDescent="0.25">
      <c r="A39" s="19">
        <v>45415</v>
      </c>
      <c r="B39" s="16">
        <v>100</v>
      </c>
      <c r="C39" s="2">
        <v>184.02</v>
      </c>
      <c r="D39" s="15">
        <v>18402</v>
      </c>
      <c r="E39" s="3">
        <v>0.24000000000000909</v>
      </c>
      <c r="F39" s="4">
        <v>1.3059092393079563E-3</v>
      </c>
      <c r="G39" s="14">
        <v>0.79793065040888711</v>
      </c>
      <c r="H39" s="15">
        <v>8166.9000000000015</v>
      </c>
      <c r="I39" s="6" t="s">
        <v>104</v>
      </c>
      <c r="J39" s="6" t="s">
        <v>104</v>
      </c>
      <c r="K39" s="6" t="s">
        <v>104</v>
      </c>
      <c r="L39" s="17">
        <v>102.351</v>
      </c>
      <c r="M39" s="14">
        <v>1.4699345778465236E-2</v>
      </c>
      <c r="N39" s="15" t="s">
        <v>22</v>
      </c>
      <c r="O39" s="15" t="s">
        <v>22</v>
      </c>
      <c r="P39" s="15" t="s">
        <v>22</v>
      </c>
      <c r="Q39" s="15" t="s">
        <v>22</v>
      </c>
      <c r="R39" s="15" t="s">
        <v>22</v>
      </c>
      <c r="S39" s="14" t="s">
        <v>104</v>
      </c>
      <c r="T39" s="5" t="s">
        <v>22</v>
      </c>
      <c r="U39" s="5" t="s">
        <v>22</v>
      </c>
    </row>
    <row r="40" spans="1:21" ht="15" x14ac:dyDescent="0.25">
      <c r="A40" s="19">
        <v>45569</v>
      </c>
      <c r="B40" s="16">
        <v>100</v>
      </c>
      <c r="C40" s="2">
        <v>184.02</v>
      </c>
      <c r="D40" s="15">
        <v>18402</v>
      </c>
      <c r="E40" s="3">
        <v>0.24000000000000909</v>
      </c>
      <c r="F40" s="4">
        <v>1.3059092393079563E-3</v>
      </c>
      <c r="G40" s="14">
        <v>0.58487641030057702</v>
      </c>
      <c r="H40" s="15">
        <v>6791.0000000000009</v>
      </c>
      <c r="I40" s="6" t="s">
        <v>104</v>
      </c>
      <c r="J40" s="6" t="s">
        <v>104</v>
      </c>
      <c r="K40" s="6" t="s">
        <v>104</v>
      </c>
      <c r="L40" s="17">
        <v>116.11</v>
      </c>
      <c r="M40" s="14">
        <v>1.4699345778465236E-2</v>
      </c>
      <c r="N40" s="15" t="s">
        <v>22</v>
      </c>
      <c r="O40" s="15" t="s">
        <v>22</v>
      </c>
      <c r="P40" s="15" t="s">
        <v>22</v>
      </c>
      <c r="Q40" s="15" t="s">
        <v>22</v>
      </c>
      <c r="R40" s="15" t="s">
        <v>22</v>
      </c>
      <c r="S40" s="14" t="s">
        <v>104</v>
      </c>
      <c r="T40" s="5" t="s">
        <v>22</v>
      </c>
      <c r="U40" s="5" t="s">
        <v>22</v>
      </c>
    </row>
    <row r="41" spans="1:21" ht="15" x14ac:dyDescent="0.25">
      <c r="A41" s="19">
        <v>46071</v>
      </c>
      <c r="B41" s="16">
        <v>115</v>
      </c>
      <c r="C41" s="2">
        <v>184.02</v>
      </c>
      <c r="D41" s="15">
        <v>21162.300000000003</v>
      </c>
      <c r="E41" s="3">
        <v>0.24000000000000909</v>
      </c>
      <c r="F41" s="4">
        <v>1.3059092393079563E-3</v>
      </c>
      <c r="G41" s="14">
        <v>3.2080762759394421E-2</v>
      </c>
      <c r="H41" s="15">
        <v>657.79999999999984</v>
      </c>
      <c r="I41" s="6" t="s">
        <v>104</v>
      </c>
      <c r="J41" s="6" t="s">
        <v>104</v>
      </c>
      <c r="K41" s="6" t="s">
        <v>104</v>
      </c>
      <c r="L41" s="17">
        <v>178.3</v>
      </c>
      <c r="M41" s="14">
        <v>1.6904247645235026E-2</v>
      </c>
      <c r="N41" s="15" t="s">
        <v>22</v>
      </c>
      <c r="O41" s="15" t="s">
        <v>22</v>
      </c>
      <c r="P41" s="15" t="s">
        <v>22</v>
      </c>
      <c r="Q41" s="15" t="s">
        <v>22</v>
      </c>
      <c r="R41" s="15" t="s">
        <v>22</v>
      </c>
      <c r="S41" s="14" t="s">
        <v>104</v>
      </c>
      <c r="T41" s="5" t="s">
        <v>22</v>
      </c>
      <c r="U41" s="5" t="s">
        <v>22</v>
      </c>
    </row>
    <row r="42" spans="1:21" ht="15" x14ac:dyDescent="0.25">
      <c r="A42" s="19">
        <v>46107</v>
      </c>
      <c r="B42" s="16">
        <v>180</v>
      </c>
      <c r="C42" s="2">
        <v>184.02</v>
      </c>
      <c r="D42" s="15">
        <v>33123.599999999999</v>
      </c>
      <c r="E42" s="3">
        <v>0.24000000000000909</v>
      </c>
      <c r="F42" s="4">
        <v>1.3059092393079563E-3</v>
      </c>
      <c r="G42" s="14">
        <v>8.7588652482269533E-2</v>
      </c>
      <c r="H42" s="15">
        <v>2667.600000000004</v>
      </c>
      <c r="I42" s="6" t="s">
        <v>104</v>
      </c>
      <c r="J42" s="6" t="s">
        <v>104</v>
      </c>
      <c r="K42" s="6" t="s">
        <v>104</v>
      </c>
      <c r="L42" s="17">
        <v>169.2</v>
      </c>
      <c r="M42" s="14">
        <v>2.6458822401237425E-2</v>
      </c>
      <c r="N42" s="15" t="s">
        <v>22</v>
      </c>
      <c r="O42" s="15" t="s">
        <v>22</v>
      </c>
      <c r="P42" s="15" t="s">
        <v>22</v>
      </c>
      <c r="Q42" s="15" t="s">
        <v>22</v>
      </c>
      <c r="R42" s="15" t="s">
        <v>22</v>
      </c>
      <c r="S42" s="14" t="s">
        <v>104</v>
      </c>
      <c r="T42" s="5" t="s">
        <v>22</v>
      </c>
      <c r="U42" s="5" t="s">
        <v>22</v>
      </c>
    </row>
    <row r="43" spans="1:21" ht="18.75" x14ac:dyDescent="0.25">
      <c r="A43" s="1" t="s">
        <v>38</v>
      </c>
      <c r="B43" s="16">
        <v>720</v>
      </c>
      <c r="C43" s="2">
        <v>21.23</v>
      </c>
      <c r="D43" s="15">
        <v>15285.6</v>
      </c>
      <c r="E43" s="3">
        <v>1.0800000000000018</v>
      </c>
      <c r="F43" s="4">
        <v>5.3598014888337486E-2</v>
      </c>
      <c r="G43" s="14">
        <v>-4.8408785298072542E-2</v>
      </c>
      <c r="H43" s="15">
        <v>-777.59999999999877</v>
      </c>
      <c r="I43" s="6">
        <v>3.31</v>
      </c>
      <c r="J43" s="6">
        <v>4</v>
      </c>
      <c r="K43" s="6">
        <v>4.66</v>
      </c>
      <c r="L43" s="17">
        <v>22.31</v>
      </c>
      <c r="M43" s="14">
        <v>1.2209994556641028E-2</v>
      </c>
      <c r="N43" s="15" t="s">
        <v>190</v>
      </c>
      <c r="O43" s="15" t="s">
        <v>182</v>
      </c>
      <c r="P43" s="15">
        <v>0.51446000000000003</v>
      </c>
      <c r="Q43" s="15">
        <v>9.9849999999999994E-2</v>
      </c>
      <c r="R43" s="15" t="s">
        <v>167</v>
      </c>
      <c r="S43" s="14">
        <v>3.0769231000000001E-2</v>
      </c>
      <c r="T43" s="5">
        <v>12.744099</v>
      </c>
      <c r="U43" s="5">
        <v>2.7283854000000001</v>
      </c>
    </row>
    <row r="44" spans="1:21" ht="18.75" x14ac:dyDescent="0.25">
      <c r="A44" s="1" t="s">
        <v>39</v>
      </c>
      <c r="B44" s="16">
        <v>3300</v>
      </c>
      <c r="C44" s="2">
        <v>33.47</v>
      </c>
      <c r="D44" s="15">
        <v>110451</v>
      </c>
      <c r="E44" s="3">
        <v>-0.17000000000000171</v>
      </c>
      <c r="F44" s="4">
        <v>-5.0535077288942354E-3</v>
      </c>
      <c r="G44" s="14">
        <v>0.18306555269922878</v>
      </c>
      <c r="H44" s="15">
        <v>17091</v>
      </c>
      <c r="I44" s="6">
        <v>3.06</v>
      </c>
      <c r="J44" s="6">
        <v>4</v>
      </c>
      <c r="K44" s="6" t="s">
        <v>22</v>
      </c>
      <c r="L44" s="17">
        <v>28.290909090909089</v>
      </c>
      <c r="M44" s="14">
        <v>8.8227227506644038E-2</v>
      </c>
      <c r="N44" s="15" t="s">
        <v>22</v>
      </c>
      <c r="O44" s="15" t="s">
        <v>22</v>
      </c>
      <c r="P44" s="15" t="s">
        <v>22</v>
      </c>
      <c r="Q44" s="15" t="s">
        <v>22</v>
      </c>
      <c r="R44" s="15" t="s">
        <v>169</v>
      </c>
      <c r="S44" s="14">
        <v>3.2945898000000001E-2</v>
      </c>
      <c r="T44" s="5">
        <v>18.231491399999999</v>
      </c>
      <c r="U44" s="5">
        <v>2.3237942999999999</v>
      </c>
    </row>
    <row r="45" spans="1:21" ht="15" x14ac:dyDescent="0.25">
      <c r="A45" s="19">
        <v>45905</v>
      </c>
      <c r="B45" s="16">
        <v>1500</v>
      </c>
      <c r="C45" s="2">
        <v>33.47</v>
      </c>
      <c r="D45" s="15">
        <v>50205</v>
      </c>
      <c r="E45" s="3">
        <v>-0.17000000000000171</v>
      </c>
      <c r="F45" s="4">
        <v>-5.0535077288942354E-3</v>
      </c>
      <c r="G45" s="14">
        <v>0.18856534090909083</v>
      </c>
      <c r="H45" s="15">
        <v>7964.9999999999982</v>
      </c>
      <c r="I45" s="6" t="s">
        <v>104</v>
      </c>
      <c r="J45" s="6" t="s">
        <v>104</v>
      </c>
      <c r="K45" s="6" t="s">
        <v>104</v>
      </c>
      <c r="L45" s="17">
        <v>28.16</v>
      </c>
      <c r="M45" s="14">
        <v>4.0103285230292746E-2</v>
      </c>
      <c r="N45" s="15" t="s">
        <v>22</v>
      </c>
      <c r="O45" s="15" t="s">
        <v>22</v>
      </c>
      <c r="P45" s="15" t="s">
        <v>22</v>
      </c>
      <c r="Q45" s="15" t="s">
        <v>22</v>
      </c>
      <c r="R45" s="15" t="s">
        <v>22</v>
      </c>
      <c r="S45" s="14" t="s">
        <v>104</v>
      </c>
      <c r="T45" s="5" t="s">
        <v>22</v>
      </c>
      <c r="U45" s="5" t="s">
        <v>22</v>
      </c>
    </row>
    <row r="46" spans="1:21" ht="15" x14ac:dyDescent="0.25">
      <c r="A46" s="19">
        <v>45950</v>
      </c>
      <c r="B46" s="16">
        <v>1800</v>
      </c>
      <c r="C46" s="2">
        <v>33.47</v>
      </c>
      <c r="D46" s="15">
        <v>60246</v>
      </c>
      <c r="E46" s="3">
        <v>-0.17000000000000171</v>
      </c>
      <c r="F46" s="4">
        <v>-5.0535077288942354E-3</v>
      </c>
      <c r="G46" s="14">
        <v>0.17852112676056328</v>
      </c>
      <c r="H46" s="15">
        <v>9126</v>
      </c>
      <c r="I46" s="6" t="s">
        <v>104</v>
      </c>
      <c r="J46" s="6" t="s">
        <v>104</v>
      </c>
      <c r="K46" s="6" t="s">
        <v>104</v>
      </c>
      <c r="L46" s="17">
        <v>28.4</v>
      </c>
      <c r="M46" s="14">
        <v>4.8123942276351299E-2</v>
      </c>
      <c r="N46" s="15" t="s">
        <v>22</v>
      </c>
      <c r="O46" s="15" t="s">
        <v>22</v>
      </c>
      <c r="P46" s="15" t="s">
        <v>22</v>
      </c>
      <c r="Q46" s="15" t="s">
        <v>22</v>
      </c>
      <c r="R46" s="15" t="s">
        <v>22</v>
      </c>
      <c r="S46" s="14" t="s">
        <v>104</v>
      </c>
      <c r="T46" s="5" t="s">
        <v>22</v>
      </c>
      <c r="U46" s="5" t="s">
        <v>22</v>
      </c>
    </row>
    <row r="47" spans="1:21" ht="18.75" x14ac:dyDescent="0.25">
      <c r="A47" s="1" t="s">
        <v>40</v>
      </c>
      <c r="B47" s="16">
        <v>360</v>
      </c>
      <c r="C47" s="2">
        <v>39.369999999999997</v>
      </c>
      <c r="D47" s="15">
        <v>14173.199999999999</v>
      </c>
      <c r="E47" s="3">
        <v>-0.27000000000000313</v>
      </c>
      <c r="F47" s="4">
        <v>-6.8113017154389777E-3</v>
      </c>
      <c r="G47" s="14">
        <v>-6.7724366564053992E-2</v>
      </c>
      <c r="H47" s="15">
        <v>-1029.5999999999999</v>
      </c>
      <c r="I47" s="6">
        <v>3.67</v>
      </c>
      <c r="J47" s="6">
        <v>5</v>
      </c>
      <c r="K47" s="6">
        <v>5</v>
      </c>
      <c r="L47" s="17">
        <v>42.23</v>
      </c>
      <c r="M47" s="14">
        <v>1.1321419823244401E-2</v>
      </c>
      <c r="N47" s="15" t="s">
        <v>186</v>
      </c>
      <c r="O47" s="15" t="s">
        <v>186</v>
      </c>
      <c r="P47" s="15">
        <v>0.39500000000000002</v>
      </c>
      <c r="Q47" s="15">
        <v>0.31333</v>
      </c>
      <c r="R47" s="15" t="s">
        <v>172</v>
      </c>
      <c r="S47" s="14" t="s">
        <v>22</v>
      </c>
      <c r="T47" s="5">
        <v>24.867304000000001</v>
      </c>
      <c r="U47" s="5">
        <v>2.751477</v>
      </c>
    </row>
    <row r="48" spans="1:21" ht="18.75" x14ac:dyDescent="0.25">
      <c r="A48" s="1" t="s">
        <v>41</v>
      </c>
      <c r="B48" s="16">
        <v>710</v>
      </c>
      <c r="C48" s="2">
        <v>19.04</v>
      </c>
      <c r="D48" s="15">
        <v>13518.4</v>
      </c>
      <c r="E48" s="3">
        <v>-0.28999999999999915</v>
      </c>
      <c r="F48" s="4">
        <v>-1.500258665287113E-2</v>
      </c>
      <c r="G48" s="14">
        <v>-0.32839506172839511</v>
      </c>
      <c r="H48" s="15">
        <v>-6610.1000000000013</v>
      </c>
      <c r="I48" s="6">
        <v>2.71</v>
      </c>
      <c r="J48" s="6">
        <v>3.85</v>
      </c>
      <c r="K48" s="6">
        <v>4.87</v>
      </c>
      <c r="L48" s="17">
        <v>28.35</v>
      </c>
      <c r="M48" s="14">
        <v>1.079837169718533E-2</v>
      </c>
      <c r="N48" s="15" t="s">
        <v>186</v>
      </c>
      <c r="O48" s="15" t="s">
        <v>186</v>
      </c>
      <c r="P48" s="15">
        <v>-0.192</v>
      </c>
      <c r="Q48" s="15">
        <v>-8.5999999999999993E-2</v>
      </c>
      <c r="R48" s="15" t="s">
        <v>22</v>
      </c>
      <c r="S48" s="14" t="s">
        <v>22</v>
      </c>
      <c r="T48" s="5" t="s">
        <v>186</v>
      </c>
      <c r="U48" s="5">
        <v>345.01224000000002</v>
      </c>
    </row>
    <row r="49" spans="1:21" ht="18.75" x14ac:dyDescent="0.25">
      <c r="A49" s="20" t="s">
        <v>103</v>
      </c>
      <c r="B49" s="16" t="s">
        <v>22</v>
      </c>
      <c r="C49" s="2" t="s">
        <v>22</v>
      </c>
      <c r="D49" s="15">
        <v>1251892.45</v>
      </c>
      <c r="E49" s="3" t="s">
        <v>22</v>
      </c>
      <c r="F49" s="4">
        <v>5.2813604687435688E-3</v>
      </c>
      <c r="G49" s="14">
        <v>0.21124095078353611</v>
      </c>
      <c r="H49" s="15">
        <v>218330.59000000003</v>
      </c>
      <c r="I49" s="6" t="s">
        <v>104</v>
      </c>
      <c r="J49" s="6" t="s">
        <v>104</v>
      </c>
      <c r="K49" s="6" t="s">
        <v>104</v>
      </c>
      <c r="L49" s="17" t="s">
        <v>22</v>
      </c>
      <c r="M49" s="14" t="s">
        <v>104</v>
      </c>
      <c r="N49" s="15" t="s">
        <v>22</v>
      </c>
      <c r="O49" s="15" t="s">
        <v>22</v>
      </c>
      <c r="P49" s="15" t="s">
        <v>22</v>
      </c>
      <c r="Q49" s="15" t="s">
        <v>22</v>
      </c>
      <c r="R49" s="15" t="s">
        <v>22</v>
      </c>
      <c r="S49" s="14" t="s">
        <v>104</v>
      </c>
      <c r="T49" s="5" t="s">
        <v>22</v>
      </c>
      <c r="U49" s="5" t="s">
        <v>22</v>
      </c>
    </row>
  </sheetData>
  <conditionalFormatting sqref="C2:C49">
    <cfRule type="cellIs" dxfId="461" priority="1" operator="between">
      <formula>-9995</formula>
      <formula>9995</formula>
    </cfRule>
    <cfRule type="cellIs" dxfId="460" priority="2" operator="greaterThan">
      <formula>999999950000</formula>
    </cfRule>
    <cfRule type="cellIs" dxfId="459" priority="3" operator="greaterThan">
      <formula>999995000</formula>
    </cfRule>
    <cfRule type="cellIs" dxfId="458" priority="4" operator="greaterThan">
      <formula>999500</formula>
    </cfRule>
    <cfRule type="cellIs" dxfId="457" priority="5" operator="greaterThan">
      <formula>9995</formula>
    </cfRule>
    <cfRule type="cellIs" dxfId="456" priority="6" operator="lessThan">
      <formula>-999999950000</formula>
    </cfRule>
    <cfRule type="cellIs" dxfId="455" priority="7" operator="lessThan">
      <formula>-999995000</formula>
    </cfRule>
    <cfRule type="cellIs" dxfId="454" priority="8" operator="lessThan">
      <formula>-999500</formula>
    </cfRule>
    <cfRule type="cellIs" dxfId="453" priority="9" operator="lessThan">
      <formula>-9995</formula>
    </cfRule>
  </conditionalFormatting>
  <conditionalFormatting sqref="D2:D49">
    <cfRule type="cellIs" dxfId="452" priority="10" operator="between">
      <formula>-9995</formula>
      <formula>9995</formula>
    </cfRule>
    <cfRule type="cellIs" dxfId="451" priority="11" operator="greaterThan">
      <formula>999999950000</formula>
    </cfRule>
    <cfRule type="cellIs" dxfId="450" priority="12" operator="greaterThan">
      <formula>999995000</formula>
    </cfRule>
    <cfRule type="cellIs" dxfId="449" priority="13" operator="greaterThan">
      <formula>999500</formula>
    </cfRule>
    <cfRule type="cellIs" dxfId="448" priority="14" operator="greaterThan">
      <formula>9995</formula>
    </cfRule>
    <cfRule type="cellIs" dxfId="447" priority="15" operator="lessThan">
      <formula>-999999950000</formula>
    </cfRule>
    <cfRule type="cellIs" dxfId="446" priority="16" operator="lessThan">
      <formula>-999995000</formula>
    </cfRule>
    <cfRule type="cellIs" dxfId="445" priority="17" operator="lessThan">
      <formula>-999500</formula>
    </cfRule>
    <cfRule type="cellIs" dxfId="444" priority="18" operator="lessThan">
      <formula>-9995</formula>
    </cfRule>
  </conditionalFormatting>
  <conditionalFormatting sqref="E2:E49">
    <cfRule type="cellIs" dxfId="443" priority="19" operator="greaterThan">
      <formula>0</formula>
    </cfRule>
    <cfRule type="cellIs" dxfId="442" priority="20" operator="lessThan">
      <formula>0</formula>
    </cfRule>
  </conditionalFormatting>
  <conditionalFormatting sqref="F2:F49">
    <cfRule type="cellIs" dxfId="441" priority="21" operator="greaterThan">
      <formula>0</formula>
    </cfRule>
    <cfRule type="cellIs" dxfId="440" priority="22" operator="lessThan">
      <formula>0</formula>
    </cfRule>
  </conditionalFormatting>
  <conditionalFormatting sqref="G2:G49">
    <cfRule type="cellIs" dxfId="439" priority="23" operator="greaterThan">
      <formula>0</formula>
    </cfRule>
    <cfRule type="cellIs" dxfId="438" priority="24" operator="lessThan">
      <formula>0</formula>
    </cfRule>
  </conditionalFormatting>
  <conditionalFormatting sqref="H2:H49">
    <cfRule type="cellIs" dxfId="437" priority="25" operator="between">
      <formula>-9995</formula>
      <formula>9995</formula>
    </cfRule>
    <cfRule type="cellIs" dxfId="436" priority="26" operator="greaterThan">
      <formula>999999950000</formula>
    </cfRule>
    <cfRule type="cellIs" dxfId="435" priority="27" operator="greaterThan">
      <formula>999995000</formula>
    </cfRule>
    <cfRule type="cellIs" dxfId="434" priority="28" operator="greaterThan">
      <formula>999500</formula>
    </cfRule>
    <cfRule type="cellIs" dxfId="433" priority="29" operator="greaterThan">
      <formula>9995</formula>
    </cfRule>
    <cfRule type="cellIs" dxfId="432" priority="30" operator="lessThan">
      <formula>-999999950000</formula>
    </cfRule>
    <cfRule type="cellIs" dxfId="431" priority="31" operator="lessThan">
      <formula>-999995000</formula>
    </cfRule>
    <cfRule type="cellIs" dxfId="430" priority="32" operator="lessThan">
      <formula>-999500</formula>
    </cfRule>
    <cfRule type="cellIs" dxfId="429" priority="33" operator="lessThan">
      <formula>-9995</formula>
    </cfRule>
    <cfRule type="cellIs" dxfId="428" priority="34" operator="greaterThan">
      <formula>0</formula>
    </cfRule>
    <cfRule type="cellIs" dxfId="427" priority="35" operator="lessThan">
      <formula>0</formula>
    </cfRule>
  </conditionalFormatting>
  <conditionalFormatting sqref="I2:I49">
    <cfRule type="cellIs" dxfId="426" priority="36" operator="between">
      <formula>4.5</formula>
      <formula>5</formula>
    </cfRule>
    <cfRule type="cellIs" dxfId="425" priority="37" operator="between">
      <formula>3.5</formula>
      <formula>4.5</formula>
    </cfRule>
    <cfRule type="cellIs" dxfId="424" priority="38" operator="between">
      <formula>2.5</formula>
      <formula>3.5</formula>
    </cfRule>
    <cfRule type="cellIs" dxfId="423" priority="39" operator="between">
      <formula>1.5</formula>
      <formula>2.5</formula>
    </cfRule>
    <cfRule type="cellIs" dxfId="422" priority="40" operator="between">
      <formula>1</formula>
      <formula>1.5</formula>
    </cfRule>
    <cfRule type="notContainsBlanks" dxfId="421" priority="41">
      <formula>LEN(TRIM(I2))&gt;0</formula>
    </cfRule>
  </conditionalFormatting>
  <conditionalFormatting sqref="J2:J49">
    <cfRule type="cellIs" dxfId="420" priority="42" operator="between">
      <formula>4.5</formula>
      <formula>5</formula>
    </cfRule>
    <cfRule type="cellIs" dxfId="419" priority="43" operator="between">
      <formula>3.5</formula>
      <formula>4.5</formula>
    </cfRule>
    <cfRule type="cellIs" dxfId="418" priority="44" operator="between">
      <formula>2.5</formula>
      <formula>3.5</formula>
    </cfRule>
    <cfRule type="cellIs" dxfId="417" priority="45" operator="between">
      <formula>1.5</formula>
      <formula>2.5</formula>
    </cfRule>
    <cfRule type="cellIs" dxfId="416" priority="46" operator="between">
      <formula>1</formula>
      <formula>1.5</formula>
    </cfRule>
    <cfRule type="notContainsBlanks" dxfId="415" priority="47">
      <formula>LEN(TRIM(J2))&gt;0</formula>
    </cfRule>
  </conditionalFormatting>
  <conditionalFormatting sqref="K2:K49">
    <cfRule type="cellIs" dxfId="414" priority="48" operator="between">
      <formula>4.5</formula>
      <formula>5</formula>
    </cfRule>
    <cfRule type="cellIs" dxfId="413" priority="49" operator="between">
      <formula>3.5</formula>
      <formula>4.5</formula>
    </cfRule>
    <cfRule type="cellIs" dxfId="412" priority="50" operator="between">
      <formula>2.5</formula>
      <formula>3.5</formula>
    </cfRule>
    <cfRule type="cellIs" dxfId="411" priority="51" operator="between">
      <formula>1.5</formula>
      <formula>2.5</formula>
    </cfRule>
    <cfRule type="cellIs" dxfId="410" priority="52" operator="between">
      <formula>1</formula>
      <formula>1.5</formula>
    </cfRule>
    <cfRule type="notContainsBlanks" dxfId="409" priority="53">
      <formula>LEN(TRIM(K2))&gt;0</formula>
    </cfRule>
  </conditionalFormatting>
  <conditionalFormatting sqref="L2:L49">
    <cfRule type="cellIs" dxfId="408" priority="54" operator="between">
      <formula>-9995</formula>
      <formula>9995</formula>
    </cfRule>
    <cfRule type="cellIs" dxfId="407" priority="55" operator="greaterThan">
      <formula>999999950000</formula>
    </cfRule>
    <cfRule type="cellIs" dxfId="406" priority="56" operator="greaterThan">
      <formula>999995000</formula>
    </cfRule>
    <cfRule type="cellIs" dxfId="405" priority="57" operator="greaterThan">
      <formula>999500</formula>
    </cfRule>
    <cfRule type="cellIs" dxfId="404" priority="58" operator="greaterThan">
      <formula>9995</formula>
    </cfRule>
    <cfRule type="cellIs" dxfId="403" priority="59" operator="lessThan">
      <formula>-999999950000</formula>
    </cfRule>
    <cfRule type="cellIs" dxfId="402" priority="60" operator="lessThan">
      <formula>-999995000</formula>
    </cfRule>
    <cfRule type="cellIs" dxfId="401" priority="61" operator="lessThan">
      <formula>-999500</formula>
    </cfRule>
    <cfRule type="cellIs" dxfId="400" priority="62" operator="lessThan">
      <formula>-9995</formula>
    </cfRule>
  </conditionalFormatting>
  <conditionalFormatting sqref="P2:P49">
    <cfRule type="cellIs" dxfId="399" priority="63" operator="between">
      <formula>-9995</formula>
      <formula>9995</formula>
    </cfRule>
    <cfRule type="cellIs" dxfId="398" priority="64" operator="greaterThan">
      <formula>999999950000</formula>
    </cfRule>
    <cfRule type="cellIs" dxfId="397" priority="65" operator="greaterThan">
      <formula>999995000</formula>
    </cfRule>
    <cfRule type="cellIs" dxfId="396" priority="66" operator="greaterThan">
      <formula>999500</formula>
    </cfRule>
    <cfRule type="cellIs" dxfId="395" priority="67" operator="greaterThan">
      <formula>9995</formula>
    </cfRule>
    <cfRule type="cellIs" dxfId="394" priority="68" operator="lessThan">
      <formula>-999999950000</formula>
    </cfRule>
    <cfRule type="cellIs" dxfId="393" priority="69" operator="lessThan">
      <formula>-999995000</formula>
    </cfRule>
    <cfRule type="cellIs" dxfId="392" priority="70" operator="lessThan">
      <formula>-999500</formula>
    </cfRule>
    <cfRule type="cellIs" dxfId="391" priority="71" operator="lessThan">
      <formula>-9995</formula>
    </cfRule>
  </conditionalFormatting>
  <conditionalFormatting sqref="Q2:Q49">
    <cfRule type="cellIs" dxfId="390" priority="72" operator="between">
      <formula>-9995</formula>
      <formula>9995</formula>
    </cfRule>
    <cfRule type="cellIs" dxfId="389" priority="73" operator="greaterThan">
      <formula>999999950000</formula>
    </cfRule>
    <cfRule type="cellIs" dxfId="388" priority="74" operator="greaterThan">
      <formula>999995000</formula>
    </cfRule>
    <cfRule type="cellIs" dxfId="387" priority="75" operator="greaterThan">
      <formula>999500</formula>
    </cfRule>
    <cfRule type="cellIs" dxfId="386" priority="76" operator="greaterThan">
      <formula>9995</formula>
    </cfRule>
    <cfRule type="cellIs" dxfId="385" priority="77" operator="lessThan">
      <formula>-999999950000</formula>
    </cfRule>
    <cfRule type="cellIs" dxfId="384" priority="78" operator="lessThan">
      <formula>-999995000</formula>
    </cfRule>
    <cfRule type="cellIs" dxfId="383" priority="79" operator="lessThan">
      <formula>-999500</formula>
    </cfRule>
    <cfRule type="cellIs" dxfId="382" priority="80" operator="lessThan">
      <formula>-9995</formula>
    </cfRule>
    <cfRule type="cellIs" dxfId="381" priority="81" operator="greaterThan">
      <formula>0</formula>
    </cfRule>
    <cfRule type="cellIs" dxfId="380" priority="82" operator="lessThan">
      <formula>0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6"/>
  <sheetViews>
    <sheetView workbookViewId="0"/>
  </sheetViews>
  <sheetFormatPr defaultColWidth="15" defaultRowHeight="20.100000000000001" customHeight="1" x14ac:dyDescent="0.25"/>
  <cols>
    <col min="1" max="1" width="20" style="1" customWidth="1"/>
    <col min="2" max="2" width="15" style="2" customWidth="1"/>
    <col min="3" max="4" width="15" style="4" customWidth="1"/>
    <col min="5" max="12" width="15" style="6" customWidth="1"/>
    <col min="13" max="14" width="15" style="15" customWidth="1"/>
    <col min="15" max="21" width="15" style="14" customWidth="1"/>
  </cols>
  <sheetData>
    <row r="1" spans="1:21" s="7" customFormat="1" ht="20.100000000000001" customHeight="1" x14ac:dyDescent="0.2">
      <c r="A1" s="8" t="s">
        <v>0</v>
      </c>
      <c r="B1" s="9" t="s">
        <v>1</v>
      </c>
      <c r="C1" s="11" t="s">
        <v>3</v>
      </c>
      <c r="D1" s="9" t="s">
        <v>198</v>
      </c>
      <c r="E1" s="13" t="s">
        <v>13</v>
      </c>
      <c r="F1" s="13" t="s">
        <v>14</v>
      </c>
      <c r="G1" s="13" t="s">
        <v>15</v>
      </c>
      <c r="H1" s="13" t="s">
        <v>45</v>
      </c>
      <c r="I1" s="13" t="s">
        <v>46</v>
      </c>
      <c r="J1" s="13" t="s">
        <v>47</v>
      </c>
      <c r="K1" s="13" t="s">
        <v>48</v>
      </c>
      <c r="L1" s="13" t="s">
        <v>49</v>
      </c>
      <c r="M1" s="9" t="s">
        <v>175</v>
      </c>
      <c r="N1" s="9" t="s">
        <v>199</v>
      </c>
      <c r="O1" s="11" t="s">
        <v>200</v>
      </c>
      <c r="P1" s="9" t="s">
        <v>201</v>
      </c>
      <c r="Q1" s="11" t="s">
        <v>202</v>
      </c>
      <c r="R1" s="9" t="s">
        <v>203</v>
      </c>
      <c r="S1" s="11" t="s">
        <v>204</v>
      </c>
      <c r="T1" s="9" t="s">
        <v>205</v>
      </c>
      <c r="U1" s="11" t="s">
        <v>206</v>
      </c>
    </row>
    <row r="2" spans="1:21" x14ac:dyDescent="0.25">
      <c r="A2" s="1" t="s">
        <v>16</v>
      </c>
      <c r="B2" s="2">
        <v>180.48</v>
      </c>
      <c r="C2" s="4">
        <v>9.2830779554859966E-3</v>
      </c>
      <c r="D2" s="15" t="s">
        <v>207</v>
      </c>
      <c r="E2" s="6">
        <v>2.8</v>
      </c>
      <c r="F2" s="6">
        <v>3.75</v>
      </c>
      <c r="G2" s="6">
        <v>4.2699999999999996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15" t="s">
        <v>181</v>
      </c>
      <c r="N2" s="15">
        <v>154.03399999999999</v>
      </c>
      <c r="O2" s="14">
        <v>0.16091252580599089</v>
      </c>
      <c r="P2" s="15">
        <v>156.5564</v>
      </c>
      <c r="Q2" s="14">
        <v>0.1422081754562573</v>
      </c>
      <c r="R2" s="15">
        <v>176.03980000000001</v>
      </c>
      <c r="S2" s="14">
        <v>1.579301953308291E-2</v>
      </c>
      <c r="T2" s="15">
        <v>182.77369999999999</v>
      </c>
      <c r="U2" s="14">
        <v>-2.1631668013505211E-2</v>
      </c>
    </row>
    <row r="3" spans="1:21" x14ac:dyDescent="0.25">
      <c r="A3" s="1" t="s">
        <v>17</v>
      </c>
      <c r="B3" s="2">
        <v>191.52</v>
      </c>
      <c r="C3" s="4">
        <v>1.5105740181269089E-2</v>
      </c>
      <c r="D3" s="15" t="s">
        <v>208</v>
      </c>
      <c r="E3" s="6">
        <v>4.88</v>
      </c>
      <c r="F3" s="6">
        <v>3.75</v>
      </c>
      <c r="G3" s="6">
        <v>4.7300000000000004</v>
      </c>
      <c r="H3" s="6" t="s">
        <v>60</v>
      </c>
      <c r="I3" s="6" t="s">
        <v>19</v>
      </c>
      <c r="J3" s="6" t="s">
        <v>57</v>
      </c>
      <c r="K3" s="6" t="s">
        <v>61</v>
      </c>
      <c r="L3" s="6" t="s">
        <v>57</v>
      </c>
      <c r="M3" s="15" t="s">
        <v>183</v>
      </c>
      <c r="N3" s="15">
        <v>180.351</v>
      </c>
      <c r="O3" s="14">
        <v>4.6126719563517743E-2</v>
      </c>
      <c r="P3" s="15">
        <v>170.5472</v>
      </c>
      <c r="Q3" s="14">
        <v>0.1062626651155808</v>
      </c>
      <c r="R3" s="15">
        <v>159.24080000000001</v>
      </c>
      <c r="S3" s="14">
        <v>0.18480942070122719</v>
      </c>
      <c r="T3" s="15">
        <v>147.02535</v>
      </c>
      <c r="U3" s="14">
        <v>0.2832480929309128</v>
      </c>
    </row>
    <row r="4" spans="1:21" x14ac:dyDescent="0.25">
      <c r="A4" s="1" t="s">
        <v>18</v>
      </c>
      <c r="B4" s="2">
        <v>1733.48</v>
      </c>
      <c r="C4" s="4">
        <v>-4.3136376429502299E-3</v>
      </c>
      <c r="D4" s="15" t="s">
        <v>209</v>
      </c>
      <c r="E4" s="6">
        <v>3.47</v>
      </c>
      <c r="F4" s="6">
        <v>3.76</v>
      </c>
      <c r="G4" s="6">
        <v>4.6100000000000003</v>
      </c>
      <c r="H4" s="6" t="s">
        <v>62</v>
      </c>
      <c r="I4" s="6" t="s">
        <v>61</v>
      </c>
      <c r="J4" s="6" t="s">
        <v>57</v>
      </c>
      <c r="K4" s="6" t="s">
        <v>63</v>
      </c>
      <c r="L4" s="6" t="s">
        <v>19</v>
      </c>
      <c r="M4" s="15" t="s">
        <v>184</v>
      </c>
      <c r="N4" s="15">
        <v>1654.7329999999999</v>
      </c>
      <c r="O4" s="14">
        <v>5.2127442916772571E-2</v>
      </c>
      <c r="P4" s="15">
        <v>1760.5820000000001</v>
      </c>
      <c r="Q4" s="14">
        <v>-1.11281383088093E-2</v>
      </c>
      <c r="R4" s="15">
        <v>1603.3869999999999</v>
      </c>
      <c r="S4" s="14">
        <v>8.5820204354906102E-2</v>
      </c>
      <c r="T4" s="15">
        <v>1409.05135</v>
      </c>
      <c r="U4" s="14">
        <v>0.23557597812173403</v>
      </c>
    </row>
    <row r="5" spans="1:21" x14ac:dyDescent="0.25">
      <c r="A5" s="1" t="s">
        <v>19</v>
      </c>
      <c r="B5" s="2">
        <v>40.880000000000003</v>
      </c>
      <c r="C5" s="4">
        <v>-6.4102564102563986E-2</v>
      </c>
      <c r="D5" s="15" t="s">
        <v>210</v>
      </c>
      <c r="E5" s="6">
        <v>3.77</v>
      </c>
      <c r="F5" s="6">
        <v>3.62</v>
      </c>
      <c r="G5" s="6">
        <v>4.25</v>
      </c>
      <c r="H5" s="6" t="s">
        <v>19</v>
      </c>
      <c r="I5" s="6" t="s">
        <v>63</v>
      </c>
      <c r="J5" s="6" t="s">
        <v>57</v>
      </c>
      <c r="K5" s="6" t="s">
        <v>61</v>
      </c>
      <c r="L5" s="6" t="s">
        <v>64</v>
      </c>
      <c r="M5" s="15" t="s">
        <v>186</v>
      </c>
      <c r="N5" s="15">
        <v>38.652999999999999</v>
      </c>
      <c r="O5" s="14">
        <v>0.1300545882596435</v>
      </c>
      <c r="P5" s="15">
        <v>38.4848</v>
      </c>
      <c r="Q5" s="14">
        <v>0.13499355589739331</v>
      </c>
      <c r="R5" s="15">
        <v>39.766500000000001</v>
      </c>
      <c r="S5" s="14">
        <v>9.8411979932858037E-2</v>
      </c>
      <c r="T5" s="15">
        <v>41.464199999999998</v>
      </c>
      <c r="U5" s="14">
        <v>5.3438870157871167E-2</v>
      </c>
    </row>
    <row r="6" spans="1:21" x14ac:dyDescent="0.25">
      <c r="A6" s="1" t="s">
        <v>20</v>
      </c>
      <c r="B6" s="2">
        <v>57.05</v>
      </c>
      <c r="C6" s="4">
        <v>-3.8429125231754568E-2</v>
      </c>
      <c r="D6" s="15" t="s">
        <v>211</v>
      </c>
      <c r="E6" s="6">
        <v>3.06</v>
      </c>
      <c r="F6" s="6">
        <v>3.57</v>
      </c>
      <c r="G6" s="6">
        <v>4.57</v>
      </c>
      <c r="H6" s="6" t="s">
        <v>61</v>
      </c>
      <c r="I6" s="6" t="s">
        <v>59</v>
      </c>
      <c r="J6" s="6" t="s">
        <v>57</v>
      </c>
      <c r="K6" s="6" t="s">
        <v>65</v>
      </c>
      <c r="L6" s="6" t="s">
        <v>58</v>
      </c>
      <c r="M6" s="15" t="s">
        <v>187</v>
      </c>
      <c r="N6" s="15">
        <v>60.453999999999994</v>
      </c>
      <c r="O6" s="14">
        <v>-1.8592648956231111E-2</v>
      </c>
      <c r="P6" s="15">
        <v>60.79</v>
      </c>
      <c r="Q6" s="14">
        <v>-2.4017108076986361E-2</v>
      </c>
      <c r="R6" s="15">
        <v>60.249899999999997</v>
      </c>
      <c r="S6" s="14">
        <v>-1.526807513373464E-2</v>
      </c>
      <c r="T6" s="15">
        <v>58.8249</v>
      </c>
      <c r="U6" s="14">
        <v>8.5864999345515048E-3</v>
      </c>
    </row>
    <row r="7" spans="1:21" x14ac:dyDescent="0.25">
      <c r="A7" s="1" t="s">
        <v>21</v>
      </c>
      <c r="B7" s="2">
        <v>51.21</v>
      </c>
      <c r="C7" s="4">
        <v>-1.7543859649121751E-3</v>
      </c>
      <c r="D7" s="15" t="s">
        <v>212</v>
      </c>
      <c r="E7" s="6">
        <v>4.0599999999999996</v>
      </c>
      <c r="F7" s="6">
        <v>4.25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15" t="s">
        <v>22</v>
      </c>
      <c r="N7" s="15">
        <v>50.003</v>
      </c>
      <c r="O7" s="14">
        <v>2.5938443693378339E-2</v>
      </c>
      <c r="P7" s="15">
        <v>49.015000000000001</v>
      </c>
      <c r="Q7" s="14">
        <v>4.6618382127919952E-2</v>
      </c>
      <c r="R7" s="15">
        <v>47.223799999999997</v>
      </c>
      <c r="S7" s="14">
        <v>8.631664542031757E-2</v>
      </c>
      <c r="T7" s="15">
        <v>45.608100000000007</v>
      </c>
      <c r="U7" s="14">
        <v>0.1248001999644798</v>
      </c>
    </row>
    <row r="8" spans="1:21" x14ac:dyDescent="0.25">
      <c r="A8" s="1" t="s">
        <v>23</v>
      </c>
      <c r="B8" s="2">
        <v>36.54</v>
      </c>
      <c r="C8" s="4">
        <v>6.4995628096764735E-2</v>
      </c>
      <c r="D8" s="15" t="s">
        <v>213</v>
      </c>
      <c r="E8" s="6">
        <v>4.3899999999999997</v>
      </c>
      <c r="F8" s="6">
        <v>4</v>
      </c>
      <c r="G8" s="6">
        <v>4.05</v>
      </c>
      <c r="H8" s="6" t="s">
        <v>63</v>
      </c>
      <c r="I8" s="6" t="s">
        <v>63</v>
      </c>
      <c r="J8" s="6" t="s">
        <v>61</v>
      </c>
      <c r="K8" s="6" t="s">
        <v>66</v>
      </c>
      <c r="L8" s="6" t="s">
        <v>19</v>
      </c>
      <c r="M8" s="15" t="s">
        <v>188</v>
      </c>
      <c r="N8" s="15">
        <v>28.324999999999999</v>
      </c>
      <c r="O8" s="14">
        <v>0.21129744042365409</v>
      </c>
      <c r="P8" s="15">
        <v>27.5124</v>
      </c>
      <c r="Q8" s="14">
        <v>0.24707404661170951</v>
      </c>
      <c r="R8" s="15">
        <v>27.482800000000001</v>
      </c>
      <c r="S8" s="14">
        <v>0.24841719184362587</v>
      </c>
      <c r="T8" s="15">
        <v>27.428650000000001</v>
      </c>
      <c r="U8" s="14">
        <v>0.25088183341141468</v>
      </c>
    </row>
    <row r="9" spans="1:21" x14ac:dyDescent="0.25">
      <c r="A9" s="1" t="s">
        <v>24</v>
      </c>
      <c r="B9" s="2">
        <v>42.53</v>
      </c>
      <c r="C9" s="4">
        <v>-4.2763898266936717E-2</v>
      </c>
      <c r="D9" s="15" t="s">
        <v>214</v>
      </c>
      <c r="E9" s="6">
        <v>2.68</v>
      </c>
      <c r="F9" s="6">
        <v>3.5</v>
      </c>
      <c r="G9" s="6">
        <v>4.6100000000000003</v>
      </c>
      <c r="H9" s="6" t="s">
        <v>59</v>
      </c>
      <c r="I9" s="6" t="s">
        <v>19</v>
      </c>
      <c r="J9" s="6" t="s">
        <v>55</v>
      </c>
      <c r="K9" s="6" t="s">
        <v>59</v>
      </c>
      <c r="L9" s="6" t="s">
        <v>56</v>
      </c>
      <c r="M9" s="15" t="s">
        <v>189</v>
      </c>
      <c r="N9" s="15">
        <v>37.864999999999995</v>
      </c>
      <c r="O9" s="14">
        <v>0.1733791099960387</v>
      </c>
      <c r="P9" s="15">
        <v>48.675800000000002</v>
      </c>
      <c r="Q9" s="14">
        <v>-8.7226095924463537E-2</v>
      </c>
      <c r="R9" s="15">
        <v>45.444200000000002</v>
      </c>
      <c r="S9" s="14">
        <v>-2.2317479458324772E-2</v>
      </c>
      <c r="T9" s="15">
        <v>45.627850000000002</v>
      </c>
      <c r="U9" s="14">
        <v>-2.6252606686486327E-2</v>
      </c>
    </row>
    <row r="10" spans="1:21" x14ac:dyDescent="0.25">
      <c r="A10" s="1" t="s">
        <v>25</v>
      </c>
      <c r="B10" s="2">
        <v>62.16</v>
      </c>
      <c r="C10" s="4">
        <v>6.749098402885112E-2</v>
      </c>
      <c r="D10" s="15" t="s">
        <v>215</v>
      </c>
      <c r="E10" s="6">
        <v>1.7</v>
      </c>
      <c r="F10" s="6">
        <v>4</v>
      </c>
      <c r="G10" s="6">
        <v>4.3600000000000003</v>
      </c>
      <c r="H10" s="6" t="s">
        <v>60</v>
      </c>
      <c r="I10" s="6" t="s">
        <v>66</v>
      </c>
      <c r="J10" s="6" t="s">
        <v>60</v>
      </c>
      <c r="K10" s="6" t="s">
        <v>60</v>
      </c>
      <c r="L10" s="6" t="s">
        <v>56</v>
      </c>
      <c r="M10" s="15" t="s">
        <v>190</v>
      </c>
      <c r="N10" s="15">
        <v>51.399000000000001</v>
      </c>
      <c r="O10" s="14">
        <v>0.13290141831553132</v>
      </c>
      <c r="P10" s="15">
        <v>50.188400000000001</v>
      </c>
      <c r="Q10" s="14">
        <v>0.160228259916634</v>
      </c>
      <c r="R10" s="15">
        <v>63.977499999999999</v>
      </c>
      <c r="S10" s="14">
        <v>-8.9836270563870141E-2</v>
      </c>
      <c r="T10" s="15">
        <v>74.092150000000004</v>
      </c>
      <c r="U10" s="14">
        <v>-0.21408678247290708</v>
      </c>
    </row>
    <row r="11" spans="1:21" x14ac:dyDescent="0.25">
      <c r="A11" s="1" t="s">
        <v>26</v>
      </c>
      <c r="B11" s="2">
        <v>62.42</v>
      </c>
      <c r="C11" s="4">
        <v>2.7151555043607001E-2</v>
      </c>
      <c r="D11" s="15" t="s">
        <v>216</v>
      </c>
      <c r="E11" s="6">
        <v>2.83</v>
      </c>
      <c r="F11" s="6">
        <v>4</v>
      </c>
      <c r="G11" s="6">
        <v>4.57</v>
      </c>
      <c r="H11" s="6" t="s">
        <v>60</v>
      </c>
      <c r="I11" s="6" t="s">
        <v>61</v>
      </c>
      <c r="J11" s="6" t="s">
        <v>60</v>
      </c>
      <c r="K11" s="6" t="s">
        <v>56</v>
      </c>
      <c r="L11" s="6" t="s">
        <v>65</v>
      </c>
      <c r="M11" s="15" t="s">
        <v>188</v>
      </c>
      <c r="N11" s="15">
        <v>50.933999999999997</v>
      </c>
      <c r="O11" s="14">
        <v>0.19311265559351309</v>
      </c>
      <c r="P11" s="15">
        <v>52.669199999999996</v>
      </c>
      <c r="Q11" s="14">
        <v>0.15380526000015191</v>
      </c>
      <c r="R11" s="15">
        <v>59.885249999999999</v>
      </c>
      <c r="S11" s="14">
        <v>1.477408877812156E-2</v>
      </c>
      <c r="T11" s="15">
        <v>74.296700000000001</v>
      </c>
      <c r="U11" s="14">
        <v>-0.18206326795133559</v>
      </c>
    </row>
    <row r="12" spans="1:21" x14ac:dyDescent="0.25">
      <c r="A12" s="1" t="s">
        <v>27</v>
      </c>
      <c r="B12" s="2">
        <v>289.72000000000003</v>
      </c>
      <c r="C12" s="4">
        <v>1.0639411169637514E-2</v>
      </c>
      <c r="D12" s="15" t="s">
        <v>217</v>
      </c>
      <c r="E12" s="6">
        <v>3.27</v>
      </c>
      <c r="F12" s="6">
        <v>3.8</v>
      </c>
      <c r="G12" s="6">
        <v>4.3499999999999996</v>
      </c>
      <c r="H12" s="6" t="s">
        <v>59</v>
      </c>
      <c r="I12" s="6" t="s">
        <v>19</v>
      </c>
      <c r="J12" s="6" t="s">
        <v>63</v>
      </c>
      <c r="K12" s="6" t="s">
        <v>56</v>
      </c>
      <c r="L12" s="6" t="s">
        <v>57</v>
      </c>
      <c r="M12" s="15" t="s">
        <v>191</v>
      </c>
      <c r="N12" s="15">
        <v>288.065</v>
      </c>
      <c r="O12" s="14">
        <v>-4.8426570392098378E-3</v>
      </c>
      <c r="P12" s="15">
        <v>295.44279999999998</v>
      </c>
      <c r="Q12" s="14">
        <v>-2.9693734286298269E-2</v>
      </c>
      <c r="R12" s="15">
        <v>314.01889999999997</v>
      </c>
      <c r="S12" s="14">
        <v>-8.7093165411381165E-2</v>
      </c>
      <c r="T12" s="15">
        <v>316.00940000000003</v>
      </c>
      <c r="U12" s="14">
        <v>-9.2843440733091989E-2</v>
      </c>
    </row>
    <row r="13" spans="1:21" x14ac:dyDescent="0.25">
      <c r="A13" s="1" t="s">
        <v>28</v>
      </c>
      <c r="B13" s="2">
        <v>603.16</v>
      </c>
      <c r="C13" s="4">
        <v>2.586954673016395E-2</v>
      </c>
      <c r="D13" s="15" t="s">
        <v>218</v>
      </c>
      <c r="E13" s="6">
        <v>4.62</v>
      </c>
      <c r="F13" s="6">
        <v>4.1100000000000003</v>
      </c>
      <c r="G13" s="6">
        <v>3.47</v>
      </c>
      <c r="H13" s="6" t="s">
        <v>64</v>
      </c>
      <c r="I13" s="6" t="s">
        <v>58</v>
      </c>
      <c r="J13" s="6" t="s">
        <v>57</v>
      </c>
      <c r="K13" s="6" t="s">
        <v>19</v>
      </c>
      <c r="L13" s="6" t="s">
        <v>61</v>
      </c>
      <c r="M13" s="15" t="s">
        <v>192</v>
      </c>
      <c r="N13" s="15">
        <v>581.13800000000003</v>
      </c>
      <c r="O13" s="14">
        <v>1.172182855018947E-2</v>
      </c>
      <c r="P13" s="15">
        <v>534.31259999999997</v>
      </c>
      <c r="Q13" s="14">
        <v>0.1003858041154187</v>
      </c>
      <c r="R13" s="15">
        <v>551.35660000000007</v>
      </c>
      <c r="S13" s="14">
        <v>6.636975053894334E-2</v>
      </c>
      <c r="T13" s="15">
        <v>547.21325000000002</v>
      </c>
      <c r="U13" s="14">
        <v>7.4444012457666228E-2</v>
      </c>
    </row>
    <row r="14" spans="1:21" x14ac:dyDescent="0.25">
      <c r="A14" s="1" t="s">
        <v>29</v>
      </c>
      <c r="B14" s="2">
        <v>25.39</v>
      </c>
      <c r="C14" s="4">
        <v>-6.2622309197651882E-3</v>
      </c>
      <c r="D14" s="15" t="s">
        <v>219</v>
      </c>
      <c r="E14" s="6" t="s">
        <v>22</v>
      </c>
      <c r="F14" s="6">
        <v>4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15" t="s">
        <v>22</v>
      </c>
      <c r="N14" s="15">
        <v>22.885000000000002</v>
      </c>
      <c r="O14" s="14">
        <v>0.11645182433908691</v>
      </c>
      <c r="P14" s="15">
        <v>28.1706</v>
      </c>
      <c r="Q14" s="14">
        <v>-9.3026062632673767E-2</v>
      </c>
      <c r="R14" s="15">
        <v>26.649650000000001</v>
      </c>
      <c r="S14" s="14">
        <v>-4.1263206083381972E-2</v>
      </c>
      <c r="T14" s="15">
        <v>13.324825000000001</v>
      </c>
      <c r="U14" s="14">
        <v>0.91747358783323607</v>
      </c>
    </row>
    <row r="15" spans="1:21" x14ac:dyDescent="0.25">
      <c r="A15" s="1" t="s">
        <v>30</v>
      </c>
      <c r="B15" s="2">
        <v>164.92</v>
      </c>
      <c r="C15" s="4">
        <v>9.2405605532097645E-3</v>
      </c>
      <c r="D15" s="15" t="s">
        <v>220</v>
      </c>
      <c r="E15" s="6">
        <v>3.6</v>
      </c>
      <c r="F15" s="6">
        <v>4</v>
      </c>
      <c r="G15" s="6">
        <v>4.55</v>
      </c>
      <c r="H15" s="6" t="s">
        <v>65</v>
      </c>
      <c r="I15" s="6" t="s">
        <v>66</v>
      </c>
      <c r="J15" s="6" t="s">
        <v>66</v>
      </c>
      <c r="K15" s="6" t="s">
        <v>65</v>
      </c>
      <c r="L15" s="6" t="s">
        <v>59</v>
      </c>
      <c r="M15" s="15" t="s">
        <v>194</v>
      </c>
      <c r="N15" s="15">
        <v>170.935</v>
      </c>
      <c r="O15" s="14">
        <v>-4.4022581683095939E-2</v>
      </c>
      <c r="P15" s="15">
        <v>168.12569999999999</v>
      </c>
      <c r="Q15" s="14">
        <v>-2.80486564516906E-2</v>
      </c>
      <c r="R15" s="15">
        <v>152.98644999999999</v>
      </c>
      <c r="S15" s="14">
        <v>6.8133811850657408E-2</v>
      </c>
      <c r="T15" s="15">
        <v>146.52770000000001</v>
      </c>
      <c r="U15" s="14">
        <v>0.11521575783964391</v>
      </c>
    </row>
    <row r="16" spans="1:21" x14ac:dyDescent="0.25">
      <c r="A16" s="1" t="s">
        <v>31</v>
      </c>
      <c r="B16" s="2">
        <v>117.26</v>
      </c>
      <c r="C16" s="4">
        <v>3.7882811117011972E-2</v>
      </c>
      <c r="D16" s="15" t="s">
        <v>221</v>
      </c>
      <c r="E16" s="6">
        <v>3.06</v>
      </c>
      <c r="F16" s="6">
        <v>3.91</v>
      </c>
      <c r="G16" s="6">
        <v>4.43</v>
      </c>
      <c r="H16" s="6" t="s">
        <v>59</v>
      </c>
      <c r="I16" s="6" t="s">
        <v>58</v>
      </c>
      <c r="J16" s="6" t="s">
        <v>57</v>
      </c>
      <c r="K16" s="6" t="s">
        <v>19</v>
      </c>
      <c r="L16" s="6" t="s">
        <v>59</v>
      </c>
      <c r="M16" s="15" t="s">
        <v>187</v>
      </c>
      <c r="N16" s="15">
        <v>98.16</v>
      </c>
      <c r="O16" s="14">
        <v>0.15097799511002449</v>
      </c>
      <c r="P16" s="15">
        <v>98.2714</v>
      </c>
      <c r="Q16" s="14">
        <v>0.1496732518311534</v>
      </c>
      <c r="R16" s="15">
        <v>104.5513</v>
      </c>
      <c r="S16" s="14">
        <v>8.0617840237280719E-2</v>
      </c>
      <c r="T16" s="15">
        <v>104.47305</v>
      </c>
      <c r="U16" s="14">
        <v>8.1427219747102264E-2</v>
      </c>
    </row>
    <row r="17" spans="1:21" x14ac:dyDescent="0.25">
      <c r="A17" s="1" t="s">
        <v>32</v>
      </c>
      <c r="B17" s="2">
        <v>577.89</v>
      </c>
      <c r="C17" s="4">
        <v>1.1039574512754058E-2</v>
      </c>
      <c r="D17" s="15" t="s">
        <v>222</v>
      </c>
      <c r="E17" s="6">
        <v>3.3</v>
      </c>
      <c r="F17" s="6">
        <v>3.66</v>
      </c>
      <c r="G17" s="6">
        <v>4.04</v>
      </c>
      <c r="H17" s="6" t="s">
        <v>56</v>
      </c>
      <c r="I17" s="6" t="s">
        <v>55</v>
      </c>
      <c r="J17" s="6" t="s">
        <v>66</v>
      </c>
      <c r="K17" s="6" t="s">
        <v>59</v>
      </c>
      <c r="L17" s="6" t="s">
        <v>63</v>
      </c>
      <c r="M17" s="15" t="s">
        <v>191</v>
      </c>
      <c r="N17" s="15">
        <v>550.59899999999993</v>
      </c>
      <c r="O17" s="14">
        <v>3.810577207731964E-2</v>
      </c>
      <c r="P17" s="15">
        <v>536.13220000000001</v>
      </c>
      <c r="Q17" s="14">
        <v>6.6117647848795549E-2</v>
      </c>
      <c r="R17" s="15">
        <v>579.72469999999998</v>
      </c>
      <c r="S17" s="14">
        <v>-1.4049254758336061E-2</v>
      </c>
      <c r="T17" s="15">
        <v>605.18190000000004</v>
      </c>
      <c r="U17" s="14">
        <v>-5.5523636777636602E-2</v>
      </c>
    </row>
    <row r="18" spans="1:21" x14ac:dyDescent="0.25">
      <c r="A18" s="1" t="s">
        <v>33</v>
      </c>
      <c r="B18" s="2">
        <v>9.31</v>
      </c>
      <c r="C18" s="4">
        <v>2.1953896816685026E-2</v>
      </c>
      <c r="D18" s="15" t="s">
        <v>223</v>
      </c>
      <c r="E18" s="6">
        <v>4.82</v>
      </c>
      <c r="F18" s="6">
        <v>3.9</v>
      </c>
      <c r="G18" s="6">
        <v>4.75</v>
      </c>
      <c r="H18" s="6" t="s">
        <v>65</v>
      </c>
      <c r="I18" s="6" t="s">
        <v>57</v>
      </c>
      <c r="J18" s="6" t="s">
        <v>60</v>
      </c>
      <c r="K18" s="6" t="s">
        <v>61</v>
      </c>
      <c r="L18" s="6" t="s">
        <v>61</v>
      </c>
      <c r="M18" s="15" t="s">
        <v>195</v>
      </c>
      <c r="N18" s="15">
        <v>8.17</v>
      </c>
      <c r="O18" s="14">
        <v>0.1150550795593635</v>
      </c>
      <c r="P18" s="15">
        <v>8.7469999999999999</v>
      </c>
      <c r="Q18" s="14">
        <v>4.1499942837544247E-2</v>
      </c>
      <c r="R18" s="15">
        <v>9.2939500000000006</v>
      </c>
      <c r="S18" s="14">
        <v>-1.9792445623228141E-2</v>
      </c>
      <c r="T18" s="15">
        <v>9.315900000000001</v>
      </c>
      <c r="U18" s="14">
        <v>-2.210199765991493E-2</v>
      </c>
    </row>
    <row r="19" spans="1:21" x14ac:dyDescent="0.25">
      <c r="A19" s="1" t="s">
        <v>34</v>
      </c>
      <c r="B19" s="2">
        <v>151.05000000000001</v>
      </c>
      <c r="C19" s="4">
        <v>2.7411236566453612E-2</v>
      </c>
      <c r="D19" s="15" t="s">
        <v>224</v>
      </c>
      <c r="E19" s="6">
        <v>3.18</v>
      </c>
      <c r="F19" s="6">
        <v>3.57</v>
      </c>
      <c r="G19" s="6">
        <v>4.45</v>
      </c>
      <c r="H19" s="6" t="s">
        <v>58</v>
      </c>
      <c r="I19" s="6" t="s">
        <v>61</v>
      </c>
      <c r="J19" s="6" t="s">
        <v>57</v>
      </c>
      <c r="K19" s="6" t="s">
        <v>55</v>
      </c>
      <c r="L19" s="6" t="s">
        <v>58</v>
      </c>
      <c r="M19" s="15" t="s">
        <v>144</v>
      </c>
      <c r="N19" s="15">
        <v>133.75</v>
      </c>
      <c r="O19" s="14">
        <v>9.9214953271028111E-2</v>
      </c>
      <c r="P19" s="15">
        <v>160.28800000000001</v>
      </c>
      <c r="Q19" s="14">
        <v>-8.27760031942502E-2</v>
      </c>
      <c r="R19" s="15">
        <v>164.4786</v>
      </c>
      <c r="S19" s="14">
        <v>-0.1061451155347868</v>
      </c>
      <c r="T19" s="15">
        <v>179.3133</v>
      </c>
      <c r="U19" s="14">
        <v>-0.18009428190770019</v>
      </c>
    </row>
    <row r="20" spans="1:21" x14ac:dyDescent="0.25">
      <c r="A20" s="1" t="s">
        <v>35</v>
      </c>
      <c r="B20" s="2">
        <v>51.8</v>
      </c>
      <c r="C20" s="4">
        <v>1.1323701679031517E-2</v>
      </c>
      <c r="D20" s="15" t="s">
        <v>225</v>
      </c>
      <c r="E20" s="6">
        <v>2.78</v>
      </c>
      <c r="F20" s="6">
        <v>4</v>
      </c>
      <c r="G20" s="6">
        <v>4.22</v>
      </c>
      <c r="H20" s="6" t="s">
        <v>55</v>
      </c>
      <c r="I20" s="6" t="s">
        <v>61</v>
      </c>
      <c r="J20" s="6" t="s">
        <v>57</v>
      </c>
      <c r="K20" s="6" t="s">
        <v>65</v>
      </c>
      <c r="L20" s="6" t="s">
        <v>59</v>
      </c>
      <c r="M20" s="15" t="s">
        <v>196</v>
      </c>
      <c r="N20" s="15">
        <v>45.32</v>
      </c>
      <c r="O20" s="14">
        <v>0.13018534863195058</v>
      </c>
      <c r="P20" s="15">
        <v>46.5428</v>
      </c>
      <c r="Q20" s="14">
        <v>0.1004924499600368</v>
      </c>
      <c r="R20" s="15">
        <v>50.785899999999998</v>
      </c>
      <c r="S20" s="14">
        <v>8.5476480676723431E-3</v>
      </c>
      <c r="T20" s="15">
        <v>50.797049999999999</v>
      </c>
      <c r="U20" s="14">
        <v>8.3262709153385916E-3</v>
      </c>
    </row>
    <row r="21" spans="1:21" x14ac:dyDescent="0.25">
      <c r="A21" s="1" t="s">
        <v>36</v>
      </c>
      <c r="B21" s="2">
        <v>186</v>
      </c>
      <c r="C21" s="4">
        <v>-1.8832093685709705E-2</v>
      </c>
      <c r="D21" s="15" t="s">
        <v>226</v>
      </c>
      <c r="E21" s="6">
        <v>3.11</v>
      </c>
      <c r="F21" s="6">
        <v>3.22</v>
      </c>
      <c r="G21" s="6">
        <v>4.25</v>
      </c>
      <c r="H21" s="6" t="s">
        <v>55</v>
      </c>
      <c r="I21" s="6" t="s">
        <v>58</v>
      </c>
      <c r="J21" s="6" t="s">
        <v>57</v>
      </c>
      <c r="K21" s="6" t="s">
        <v>61</v>
      </c>
      <c r="L21" s="6" t="s">
        <v>59</v>
      </c>
      <c r="M21" s="15" t="s">
        <v>197</v>
      </c>
      <c r="N21" s="15">
        <v>191.79599999999999</v>
      </c>
      <c r="O21" s="14">
        <v>-1.1606081461552899E-2</v>
      </c>
      <c r="P21" s="15">
        <v>183.82480000000001</v>
      </c>
      <c r="Q21" s="14">
        <v>3.1253671974619382E-2</v>
      </c>
      <c r="R21" s="15">
        <v>176.46350000000001</v>
      </c>
      <c r="S21" s="14">
        <v>7.4273149971523927E-2</v>
      </c>
      <c r="T21" s="15">
        <v>170.73145</v>
      </c>
      <c r="U21" s="14">
        <v>0.11034024486994048</v>
      </c>
    </row>
    <row r="22" spans="1:21" x14ac:dyDescent="0.25">
      <c r="A22" s="1" t="s">
        <v>37</v>
      </c>
      <c r="B22" s="2">
        <v>184.02</v>
      </c>
      <c r="C22" s="4">
        <v>1.3059092393079563E-3</v>
      </c>
      <c r="D22" s="15" t="s">
        <v>227</v>
      </c>
      <c r="E22" s="6">
        <v>4.32</v>
      </c>
      <c r="F22" s="6">
        <v>5</v>
      </c>
      <c r="G22" s="6" t="s">
        <v>22</v>
      </c>
      <c r="H22" s="6" t="s">
        <v>22</v>
      </c>
      <c r="I22" s="6" t="s">
        <v>22</v>
      </c>
      <c r="J22" s="6" t="s">
        <v>22</v>
      </c>
      <c r="K22" s="6" t="s">
        <v>22</v>
      </c>
      <c r="L22" s="6" t="s">
        <v>22</v>
      </c>
      <c r="M22" s="15" t="s">
        <v>22</v>
      </c>
      <c r="N22" s="15">
        <v>178.47200000000001</v>
      </c>
      <c r="O22" s="14">
        <v>2.9741359989241972E-2</v>
      </c>
      <c r="P22" s="15">
        <v>174.54759999999999</v>
      </c>
      <c r="Q22" s="14">
        <v>5.2893308186420275E-2</v>
      </c>
      <c r="R22" s="15">
        <v>172.1789</v>
      </c>
      <c r="S22" s="14">
        <v>6.7378174677617308E-2</v>
      </c>
      <c r="T22" s="15">
        <v>168.56795</v>
      </c>
      <c r="U22" s="14">
        <v>9.0242836790742284E-2</v>
      </c>
    </row>
    <row r="23" spans="1:21" x14ac:dyDescent="0.25">
      <c r="A23" s="1" t="s">
        <v>38</v>
      </c>
      <c r="B23" s="2">
        <v>21.23</v>
      </c>
      <c r="C23" s="4">
        <v>5.3598014888337486E-2</v>
      </c>
      <c r="D23" s="15" t="s">
        <v>228</v>
      </c>
      <c r="E23" s="6">
        <v>3.31</v>
      </c>
      <c r="F23" s="6">
        <v>4</v>
      </c>
      <c r="G23" s="6">
        <v>4.66</v>
      </c>
      <c r="H23" s="6" t="s">
        <v>64</v>
      </c>
      <c r="I23" s="6" t="s">
        <v>56</v>
      </c>
      <c r="J23" s="6" t="s">
        <v>61</v>
      </c>
      <c r="K23" s="6" t="s">
        <v>63</v>
      </c>
      <c r="L23" s="6" t="s">
        <v>61</v>
      </c>
      <c r="M23" s="15" t="s">
        <v>190</v>
      </c>
      <c r="N23" s="15">
        <v>20.466000000000001</v>
      </c>
      <c r="O23" s="14">
        <v>-1.544024235317123E-2</v>
      </c>
      <c r="P23" s="15">
        <v>19.607800000000001</v>
      </c>
      <c r="Q23" s="14">
        <v>2.765226083497371E-2</v>
      </c>
      <c r="R23" s="15">
        <v>20.1188</v>
      </c>
      <c r="S23" s="14">
        <v>1.550788317394593E-3</v>
      </c>
      <c r="T23" s="15">
        <v>17.61495</v>
      </c>
      <c r="U23" s="14">
        <v>0.14391468610470071</v>
      </c>
    </row>
    <row r="24" spans="1:21" x14ac:dyDescent="0.25">
      <c r="A24" s="1" t="s">
        <v>39</v>
      </c>
      <c r="B24" s="2">
        <v>33.47</v>
      </c>
      <c r="C24" s="4">
        <v>-5.0535077288942354E-3</v>
      </c>
      <c r="D24" s="15" t="s">
        <v>229</v>
      </c>
      <c r="E24" s="6">
        <v>3.06</v>
      </c>
      <c r="F24" s="6">
        <v>4</v>
      </c>
      <c r="G24" s="6" t="s">
        <v>22</v>
      </c>
      <c r="H24" s="6" t="s">
        <v>22</v>
      </c>
      <c r="I24" s="6" t="s">
        <v>22</v>
      </c>
      <c r="J24" s="6" t="s">
        <v>22</v>
      </c>
      <c r="K24" s="6" t="s">
        <v>22</v>
      </c>
      <c r="L24" s="6" t="s">
        <v>22</v>
      </c>
      <c r="M24" s="15" t="s">
        <v>22</v>
      </c>
      <c r="N24" s="15">
        <v>33.331000000000003</v>
      </c>
      <c r="O24" s="14">
        <v>9.2706489454261031E-3</v>
      </c>
      <c r="P24" s="15">
        <v>32.374400000000001</v>
      </c>
      <c r="Q24" s="14">
        <v>3.909261638825736E-2</v>
      </c>
      <c r="R24" s="15">
        <v>32.245849999999997</v>
      </c>
      <c r="S24" s="14">
        <v>4.3235020940679297E-2</v>
      </c>
      <c r="T24" s="15">
        <v>31.357925000000002</v>
      </c>
      <c r="U24" s="14">
        <v>7.2775064038835435E-2</v>
      </c>
    </row>
    <row r="25" spans="1:21" x14ac:dyDescent="0.25">
      <c r="A25" s="1" t="s">
        <v>40</v>
      </c>
      <c r="B25" s="2">
        <v>39.369999999999997</v>
      </c>
      <c r="C25" s="4">
        <v>-6.8113017154389777E-3</v>
      </c>
      <c r="D25" s="15" t="s">
        <v>230</v>
      </c>
      <c r="E25" s="6">
        <v>3.67</v>
      </c>
      <c r="F25" s="6">
        <v>5</v>
      </c>
      <c r="G25" s="6">
        <v>5</v>
      </c>
      <c r="H25" s="6" t="s">
        <v>58</v>
      </c>
      <c r="I25" s="6" t="s">
        <v>63</v>
      </c>
      <c r="J25" s="6" t="s">
        <v>59</v>
      </c>
      <c r="K25" s="6" t="s">
        <v>58</v>
      </c>
      <c r="L25" s="6" t="s">
        <v>19</v>
      </c>
      <c r="M25" s="15" t="s">
        <v>186</v>
      </c>
      <c r="N25" s="15">
        <v>40.863999999999997</v>
      </c>
      <c r="O25" s="14">
        <v>-2.9953014878621689E-2</v>
      </c>
      <c r="P25" s="15">
        <v>43.105600000000003</v>
      </c>
      <c r="Q25" s="14">
        <v>-8.0397906536505734E-2</v>
      </c>
      <c r="R25" s="15">
        <v>41.43835</v>
      </c>
      <c r="S25" s="14">
        <v>-4.3398204803038715E-2</v>
      </c>
      <c r="T25" s="15">
        <v>44.065224999999998</v>
      </c>
      <c r="U25" s="14">
        <v>-0.10042442765241751</v>
      </c>
    </row>
    <row r="26" spans="1:21" x14ac:dyDescent="0.25">
      <c r="A26" s="1" t="s">
        <v>41</v>
      </c>
      <c r="B26" s="2">
        <v>19.04</v>
      </c>
      <c r="C26" s="4">
        <v>-1.500258665287113E-2</v>
      </c>
      <c r="D26" s="15" t="s">
        <v>231</v>
      </c>
      <c r="E26" s="6">
        <v>2.71</v>
      </c>
      <c r="F26" s="6">
        <v>3.85</v>
      </c>
      <c r="G26" s="6">
        <v>4.87</v>
      </c>
      <c r="H26" s="6" t="s">
        <v>60</v>
      </c>
      <c r="I26" s="6" t="s">
        <v>57</v>
      </c>
      <c r="J26" s="6" t="s">
        <v>56</v>
      </c>
      <c r="K26" s="6" t="s">
        <v>56</v>
      </c>
      <c r="L26" s="6" t="s">
        <v>60</v>
      </c>
      <c r="M26" s="15" t="s">
        <v>186</v>
      </c>
      <c r="N26" s="15">
        <v>15.8695</v>
      </c>
      <c r="O26" s="14">
        <v>0.21805980024575441</v>
      </c>
      <c r="P26" s="15">
        <v>19.9633</v>
      </c>
      <c r="Q26" s="14">
        <v>-3.1723212094192939E-2</v>
      </c>
      <c r="R26" s="15">
        <v>20.4817</v>
      </c>
      <c r="S26" s="14">
        <v>-5.6230683976427824E-2</v>
      </c>
      <c r="T26" s="15">
        <v>19.285875000000001</v>
      </c>
      <c r="U26" s="14">
        <v>2.2879438967636952E-3</v>
      </c>
    </row>
  </sheetData>
  <conditionalFormatting sqref="B2:B26">
    <cfRule type="cellIs" dxfId="379" priority="1" operator="between">
      <formula>-9995</formula>
      <formula>9995</formula>
    </cfRule>
    <cfRule type="cellIs" dxfId="378" priority="2" operator="greaterThan">
      <formula>999999950000</formula>
    </cfRule>
    <cfRule type="cellIs" dxfId="377" priority="3" operator="greaterThan">
      <formula>999995000</formula>
    </cfRule>
    <cfRule type="cellIs" dxfId="376" priority="4" operator="greaterThan">
      <formula>999500</formula>
    </cfRule>
    <cfRule type="cellIs" dxfId="375" priority="5" operator="greaterThan">
      <formula>9995</formula>
    </cfRule>
    <cfRule type="cellIs" dxfId="374" priority="6" operator="lessThan">
      <formula>-999999950000</formula>
    </cfRule>
    <cfRule type="cellIs" dxfId="373" priority="7" operator="lessThan">
      <formula>-999995000</formula>
    </cfRule>
    <cfRule type="cellIs" dxfId="372" priority="8" operator="lessThan">
      <formula>-999500</formula>
    </cfRule>
    <cfRule type="cellIs" dxfId="371" priority="9" operator="lessThan">
      <formula>-9995</formula>
    </cfRule>
  </conditionalFormatting>
  <conditionalFormatting sqref="C2:C26">
    <cfRule type="cellIs" dxfId="370" priority="10" operator="greaterThan">
      <formula>0</formula>
    </cfRule>
    <cfRule type="cellIs" dxfId="369" priority="11" operator="lessThan">
      <formula>0</formula>
    </cfRule>
  </conditionalFormatting>
  <conditionalFormatting sqref="E2:E26">
    <cfRule type="cellIs" dxfId="368" priority="12" operator="between">
      <formula>4.5</formula>
      <formula>5</formula>
    </cfRule>
    <cfRule type="cellIs" dxfId="367" priority="13" operator="between">
      <formula>3.5</formula>
      <formula>4.5</formula>
    </cfRule>
    <cfRule type="cellIs" dxfId="366" priority="14" operator="between">
      <formula>2.5</formula>
      <formula>3.5</formula>
    </cfRule>
    <cfRule type="cellIs" dxfId="365" priority="15" operator="between">
      <formula>1.5</formula>
      <formula>2.5</formula>
    </cfRule>
    <cfRule type="cellIs" dxfId="364" priority="16" operator="between">
      <formula>1</formula>
      <formula>1.5</formula>
    </cfRule>
    <cfRule type="notContainsBlanks" dxfId="363" priority="17">
      <formula>LEN(TRIM(E2))&gt;0</formula>
    </cfRule>
  </conditionalFormatting>
  <conditionalFormatting sqref="F2:F26">
    <cfRule type="cellIs" dxfId="362" priority="18" operator="between">
      <formula>4.5</formula>
      <formula>5</formula>
    </cfRule>
    <cfRule type="cellIs" dxfId="361" priority="19" operator="between">
      <formula>3.5</formula>
      <formula>4.5</formula>
    </cfRule>
    <cfRule type="cellIs" dxfId="360" priority="20" operator="between">
      <formula>2.5</formula>
      <formula>3.5</formula>
    </cfRule>
    <cfRule type="cellIs" dxfId="359" priority="21" operator="between">
      <formula>1.5</formula>
      <formula>2.5</formula>
    </cfRule>
    <cfRule type="cellIs" dxfId="358" priority="22" operator="between">
      <formula>1</formula>
      <formula>1.5</formula>
    </cfRule>
    <cfRule type="notContainsBlanks" dxfId="357" priority="23">
      <formula>LEN(TRIM(F2))&gt;0</formula>
    </cfRule>
  </conditionalFormatting>
  <conditionalFormatting sqref="G2:G26">
    <cfRule type="cellIs" dxfId="356" priority="24" operator="between">
      <formula>4.5</formula>
      <formula>5</formula>
    </cfRule>
    <cfRule type="cellIs" dxfId="355" priority="25" operator="between">
      <formula>3.5</formula>
      <formula>4.5</formula>
    </cfRule>
    <cfRule type="cellIs" dxfId="354" priority="26" operator="between">
      <formula>2.5</formula>
      <formula>3.5</formula>
    </cfRule>
    <cfRule type="cellIs" dxfId="353" priority="27" operator="between">
      <formula>1.5</formula>
      <formula>2.5</formula>
    </cfRule>
    <cfRule type="cellIs" dxfId="352" priority="28" operator="between">
      <formula>1</formula>
      <formula>1.5</formula>
    </cfRule>
    <cfRule type="notContainsBlanks" dxfId="351" priority="29">
      <formula>LEN(TRIM(G2))&gt;0</formula>
    </cfRule>
  </conditionalFormatting>
  <conditionalFormatting sqref="H2:H26">
    <cfRule type="cellIs" dxfId="350" priority="30" operator="equal">
      <formula>"A+"</formula>
    </cfRule>
    <cfRule type="cellIs" dxfId="349" priority="31" operator="equal">
      <formula>"A"</formula>
    </cfRule>
    <cfRule type="cellIs" dxfId="348" priority="32" operator="equal">
      <formula>"A-"</formula>
    </cfRule>
    <cfRule type="cellIs" dxfId="347" priority="33" operator="equal">
      <formula>"B+"</formula>
    </cfRule>
    <cfRule type="cellIs" dxfId="346" priority="34" operator="equal">
      <formula>"B"</formula>
    </cfRule>
    <cfRule type="cellIs" dxfId="345" priority="35" operator="equal">
      <formula>"B-"</formula>
    </cfRule>
    <cfRule type="cellIs" dxfId="344" priority="36" operator="equal">
      <formula>"C+"</formula>
    </cfRule>
    <cfRule type="cellIs" dxfId="343" priority="37" operator="equal">
      <formula>"C"</formula>
    </cfRule>
    <cfRule type="cellIs" dxfId="342" priority="38" operator="equal">
      <formula>"C-"</formula>
    </cfRule>
    <cfRule type="cellIs" dxfId="341" priority="39" operator="equal">
      <formula>"D+"</formula>
    </cfRule>
    <cfRule type="cellIs" dxfId="340" priority="40" operator="equal">
      <formula>"D"</formula>
    </cfRule>
    <cfRule type="cellIs" dxfId="339" priority="41" operator="equal">
      <formula>"D-"</formula>
    </cfRule>
    <cfRule type="cellIs" dxfId="338" priority="42" operator="equal">
      <formula>"F"</formula>
    </cfRule>
    <cfRule type="notContainsBlanks" dxfId="337" priority="43">
      <formula>LEN(TRIM(H2))&gt;0</formula>
    </cfRule>
  </conditionalFormatting>
  <conditionalFormatting sqref="I2:I26">
    <cfRule type="cellIs" dxfId="336" priority="44" operator="equal">
      <formula>"A+"</formula>
    </cfRule>
    <cfRule type="cellIs" dxfId="335" priority="45" operator="equal">
      <formula>"A"</formula>
    </cfRule>
    <cfRule type="cellIs" dxfId="334" priority="46" operator="equal">
      <formula>"A-"</formula>
    </cfRule>
    <cfRule type="cellIs" dxfId="333" priority="47" operator="equal">
      <formula>"B+"</formula>
    </cfRule>
    <cfRule type="cellIs" dxfId="332" priority="48" operator="equal">
      <formula>"B"</formula>
    </cfRule>
    <cfRule type="cellIs" dxfId="331" priority="49" operator="equal">
      <formula>"B-"</formula>
    </cfRule>
    <cfRule type="cellIs" dxfId="330" priority="50" operator="equal">
      <formula>"C+"</formula>
    </cfRule>
    <cfRule type="cellIs" dxfId="329" priority="51" operator="equal">
      <formula>"C"</formula>
    </cfRule>
    <cfRule type="cellIs" dxfId="328" priority="52" operator="equal">
      <formula>"C-"</formula>
    </cfRule>
    <cfRule type="cellIs" dxfId="327" priority="53" operator="equal">
      <formula>"D+"</formula>
    </cfRule>
    <cfRule type="cellIs" dxfId="326" priority="54" operator="equal">
      <formula>"D"</formula>
    </cfRule>
    <cfRule type="cellIs" dxfId="325" priority="55" operator="equal">
      <formula>"D-"</formula>
    </cfRule>
    <cfRule type="cellIs" dxfId="324" priority="56" operator="equal">
      <formula>"F"</formula>
    </cfRule>
    <cfRule type="notContainsBlanks" dxfId="323" priority="57">
      <formula>LEN(TRIM(I2))&gt;0</formula>
    </cfRule>
  </conditionalFormatting>
  <conditionalFormatting sqref="J2:J26">
    <cfRule type="cellIs" dxfId="322" priority="58" operator="equal">
      <formula>"A+"</formula>
    </cfRule>
    <cfRule type="cellIs" dxfId="321" priority="59" operator="equal">
      <formula>"A"</formula>
    </cfRule>
    <cfRule type="cellIs" dxfId="320" priority="60" operator="equal">
      <formula>"A-"</formula>
    </cfRule>
    <cfRule type="cellIs" dxfId="319" priority="61" operator="equal">
      <formula>"B+"</formula>
    </cfRule>
    <cfRule type="cellIs" dxfId="318" priority="62" operator="equal">
      <formula>"B"</formula>
    </cfRule>
    <cfRule type="cellIs" dxfId="317" priority="63" operator="equal">
      <formula>"B-"</formula>
    </cfRule>
    <cfRule type="cellIs" dxfId="316" priority="64" operator="equal">
      <formula>"C+"</formula>
    </cfRule>
    <cfRule type="cellIs" dxfId="315" priority="65" operator="equal">
      <formula>"C"</formula>
    </cfRule>
    <cfRule type="cellIs" dxfId="314" priority="66" operator="equal">
      <formula>"C-"</formula>
    </cfRule>
    <cfRule type="cellIs" dxfId="313" priority="67" operator="equal">
      <formula>"D+"</formula>
    </cfRule>
    <cfRule type="cellIs" dxfId="312" priority="68" operator="equal">
      <formula>"D"</formula>
    </cfRule>
    <cfRule type="cellIs" dxfId="311" priority="69" operator="equal">
      <formula>"D-"</formula>
    </cfRule>
    <cfRule type="cellIs" dxfId="310" priority="70" operator="equal">
      <formula>"F"</formula>
    </cfRule>
    <cfRule type="notContainsBlanks" dxfId="309" priority="71">
      <formula>LEN(TRIM(J2))&gt;0</formula>
    </cfRule>
  </conditionalFormatting>
  <conditionalFormatting sqref="K2:K26">
    <cfRule type="cellIs" dxfId="308" priority="72" operator="equal">
      <formula>"A+"</formula>
    </cfRule>
    <cfRule type="cellIs" dxfId="307" priority="73" operator="equal">
      <formula>"A"</formula>
    </cfRule>
    <cfRule type="cellIs" dxfId="306" priority="74" operator="equal">
      <formula>"A-"</formula>
    </cfRule>
    <cfRule type="cellIs" dxfId="305" priority="75" operator="equal">
      <formula>"B+"</formula>
    </cfRule>
    <cfRule type="cellIs" dxfId="304" priority="76" operator="equal">
      <formula>"B"</formula>
    </cfRule>
    <cfRule type="cellIs" dxfId="303" priority="77" operator="equal">
      <formula>"B-"</formula>
    </cfRule>
    <cfRule type="cellIs" dxfId="302" priority="78" operator="equal">
      <formula>"C+"</formula>
    </cfRule>
    <cfRule type="cellIs" dxfId="301" priority="79" operator="equal">
      <formula>"C"</formula>
    </cfRule>
    <cfRule type="cellIs" dxfId="300" priority="80" operator="equal">
      <formula>"C-"</formula>
    </cfRule>
    <cfRule type="cellIs" dxfId="299" priority="81" operator="equal">
      <formula>"D+"</formula>
    </cfRule>
    <cfRule type="cellIs" dxfId="298" priority="82" operator="equal">
      <formula>"D"</formula>
    </cfRule>
    <cfRule type="cellIs" dxfId="297" priority="83" operator="equal">
      <formula>"D-"</formula>
    </cfRule>
    <cfRule type="cellIs" dxfId="296" priority="84" operator="equal">
      <formula>"F"</formula>
    </cfRule>
    <cfRule type="notContainsBlanks" dxfId="295" priority="85">
      <formula>LEN(TRIM(K2))&gt;0</formula>
    </cfRule>
  </conditionalFormatting>
  <conditionalFormatting sqref="L2:L26">
    <cfRule type="cellIs" dxfId="294" priority="86" operator="equal">
      <formula>"A+"</formula>
    </cfRule>
    <cfRule type="cellIs" dxfId="293" priority="87" operator="equal">
      <formula>"A"</formula>
    </cfRule>
    <cfRule type="cellIs" dxfId="292" priority="88" operator="equal">
      <formula>"A-"</formula>
    </cfRule>
    <cfRule type="cellIs" dxfId="291" priority="89" operator="equal">
      <formula>"B+"</formula>
    </cfRule>
    <cfRule type="cellIs" dxfId="290" priority="90" operator="equal">
      <formula>"B"</formula>
    </cfRule>
    <cfRule type="cellIs" dxfId="289" priority="91" operator="equal">
      <formula>"B-"</formula>
    </cfRule>
    <cfRule type="cellIs" dxfId="288" priority="92" operator="equal">
      <formula>"C+"</formula>
    </cfRule>
    <cfRule type="cellIs" dxfId="287" priority="93" operator="equal">
      <formula>"C"</formula>
    </cfRule>
    <cfRule type="cellIs" dxfId="286" priority="94" operator="equal">
      <formula>"C-"</formula>
    </cfRule>
    <cfRule type="cellIs" dxfId="285" priority="95" operator="equal">
      <formula>"D+"</formula>
    </cfRule>
    <cfRule type="cellIs" dxfId="284" priority="96" operator="equal">
      <formula>"D"</formula>
    </cfRule>
    <cfRule type="cellIs" dxfId="283" priority="97" operator="equal">
      <formula>"D-"</formula>
    </cfRule>
    <cfRule type="cellIs" dxfId="282" priority="98" operator="equal">
      <formula>"F"</formula>
    </cfRule>
    <cfRule type="notContainsBlanks" dxfId="281" priority="99">
      <formula>LEN(TRIM(L2))&gt;0</formula>
    </cfRule>
  </conditionalFormatting>
  <conditionalFormatting sqref="N2:N26">
    <cfRule type="cellIs" dxfId="280" priority="100" operator="between">
      <formula>-9995</formula>
      <formula>9995</formula>
    </cfRule>
    <cfRule type="cellIs" dxfId="279" priority="101" operator="greaterThan">
      <formula>999999950000</formula>
    </cfRule>
    <cfRule type="cellIs" dxfId="278" priority="102" operator="greaterThan">
      <formula>999995000</formula>
    </cfRule>
    <cfRule type="cellIs" dxfId="277" priority="103" operator="greaterThan">
      <formula>999500</formula>
    </cfRule>
    <cfRule type="cellIs" dxfId="276" priority="104" operator="greaterThan">
      <formula>9995</formula>
    </cfRule>
    <cfRule type="cellIs" dxfId="275" priority="105" operator="lessThan">
      <formula>-999999950000</formula>
    </cfRule>
    <cfRule type="cellIs" dxfId="274" priority="106" operator="lessThan">
      <formula>-999995000</formula>
    </cfRule>
    <cfRule type="cellIs" dxfId="273" priority="107" operator="lessThan">
      <formula>-999500</formula>
    </cfRule>
    <cfRule type="cellIs" dxfId="272" priority="108" operator="lessThan">
      <formula>-9995</formula>
    </cfRule>
  </conditionalFormatting>
  <conditionalFormatting sqref="O2:O26">
    <cfRule type="cellIs" dxfId="271" priority="109" operator="greaterThan">
      <formula>0</formula>
    </cfRule>
    <cfRule type="cellIs" dxfId="270" priority="110" operator="lessThan">
      <formula>0</formula>
    </cfRule>
  </conditionalFormatting>
  <conditionalFormatting sqref="P2:P26">
    <cfRule type="cellIs" dxfId="269" priority="111" operator="between">
      <formula>-9995</formula>
      <formula>9995</formula>
    </cfRule>
    <cfRule type="cellIs" dxfId="268" priority="112" operator="greaterThan">
      <formula>999999950000</formula>
    </cfRule>
    <cfRule type="cellIs" dxfId="267" priority="113" operator="greaterThan">
      <formula>999995000</formula>
    </cfRule>
    <cfRule type="cellIs" dxfId="266" priority="114" operator="greaterThan">
      <formula>999500</formula>
    </cfRule>
    <cfRule type="cellIs" dxfId="265" priority="115" operator="greaterThan">
      <formula>9995</formula>
    </cfRule>
    <cfRule type="cellIs" dxfId="264" priority="116" operator="lessThan">
      <formula>-999999950000</formula>
    </cfRule>
    <cfRule type="cellIs" dxfId="263" priority="117" operator="lessThan">
      <formula>-999995000</formula>
    </cfRule>
    <cfRule type="cellIs" dxfId="262" priority="118" operator="lessThan">
      <formula>-999500</formula>
    </cfRule>
    <cfRule type="cellIs" dxfId="261" priority="119" operator="lessThan">
      <formula>-9995</formula>
    </cfRule>
  </conditionalFormatting>
  <conditionalFormatting sqref="Q2:Q26">
    <cfRule type="cellIs" dxfId="260" priority="120" operator="greaterThan">
      <formula>0</formula>
    </cfRule>
    <cfRule type="cellIs" dxfId="259" priority="121" operator="lessThan">
      <formula>0</formula>
    </cfRule>
  </conditionalFormatting>
  <conditionalFormatting sqref="R2:R26">
    <cfRule type="cellIs" dxfId="258" priority="122" operator="between">
      <formula>-9995</formula>
      <formula>9995</formula>
    </cfRule>
    <cfRule type="cellIs" dxfId="257" priority="123" operator="greaterThan">
      <formula>999999950000</formula>
    </cfRule>
    <cfRule type="cellIs" dxfId="256" priority="124" operator="greaterThan">
      <formula>999995000</formula>
    </cfRule>
    <cfRule type="cellIs" dxfId="255" priority="125" operator="greaterThan">
      <formula>999500</formula>
    </cfRule>
    <cfRule type="cellIs" dxfId="254" priority="126" operator="greaterThan">
      <formula>9995</formula>
    </cfRule>
    <cfRule type="cellIs" dxfId="253" priority="127" operator="lessThan">
      <formula>-999999950000</formula>
    </cfRule>
    <cfRule type="cellIs" dxfId="252" priority="128" operator="lessThan">
      <formula>-999995000</formula>
    </cfRule>
    <cfRule type="cellIs" dxfId="251" priority="129" operator="lessThan">
      <formula>-999500</formula>
    </cfRule>
    <cfRule type="cellIs" dxfId="250" priority="130" operator="lessThan">
      <formula>-9995</formula>
    </cfRule>
  </conditionalFormatting>
  <conditionalFormatting sqref="S2:S26">
    <cfRule type="cellIs" dxfId="249" priority="131" operator="greaterThan">
      <formula>0</formula>
    </cfRule>
    <cfRule type="cellIs" dxfId="248" priority="132" operator="lessThan">
      <formula>0</formula>
    </cfRule>
  </conditionalFormatting>
  <conditionalFormatting sqref="T2:T26">
    <cfRule type="cellIs" dxfId="247" priority="133" operator="between">
      <formula>-9995</formula>
      <formula>9995</formula>
    </cfRule>
    <cfRule type="cellIs" dxfId="246" priority="134" operator="greaterThan">
      <formula>999999950000</formula>
    </cfRule>
    <cfRule type="cellIs" dxfId="245" priority="135" operator="greaterThan">
      <formula>999995000</formula>
    </cfRule>
    <cfRule type="cellIs" dxfId="244" priority="136" operator="greaterThan">
      <formula>999500</formula>
    </cfRule>
    <cfRule type="cellIs" dxfId="243" priority="137" operator="greaterThan">
      <formula>9995</formula>
    </cfRule>
    <cfRule type="cellIs" dxfId="242" priority="138" operator="lessThan">
      <formula>-999999950000</formula>
    </cfRule>
    <cfRule type="cellIs" dxfId="241" priority="139" operator="lessThan">
      <formula>-999995000</formula>
    </cfRule>
    <cfRule type="cellIs" dxfId="240" priority="140" operator="lessThan">
      <formula>-999500</formula>
    </cfRule>
    <cfRule type="cellIs" dxfId="239" priority="141" operator="lessThan">
      <formula>-9995</formula>
    </cfRule>
  </conditionalFormatting>
  <conditionalFormatting sqref="U2:U26">
    <cfRule type="cellIs" dxfId="238" priority="142" operator="greaterThan">
      <formula>0</formula>
    </cfRule>
    <cfRule type="cellIs" dxfId="237" priority="143" operator="lessThan">
      <formula>0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9"/>
  <sheetViews>
    <sheetView workbookViewId="0"/>
  </sheetViews>
  <sheetFormatPr defaultColWidth="15" defaultRowHeight="20.100000000000001" customHeight="1" x14ac:dyDescent="0.25"/>
  <cols>
    <col min="1" max="1" width="20" style="1" customWidth="1"/>
    <col min="2" max="2" width="15" style="2" customWidth="1"/>
    <col min="3" max="3" width="15" style="3" customWidth="1"/>
    <col min="4" max="4" width="15" style="4" customWidth="1"/>
    <col min="5" max="5" width="15" style="16" customWidth="1"/>
    <col min="6" max="6" width="15" style="17" customWidth="1"/>
    <col min="7" max="7" width="15" style="15" customWidth="1"/>
    <col min="8" max="9" width="15" style="14" customWidth="1"/>
    <col min="10" max="19" width="15" style="6" customWidth="1"/>
    <col min="20" max="21" width="15" style="15" customWidth="1"/>
  </cols>
  <sheetData>
    <row r="1" spans="1:21" s="7" customFormat="1" ht="20.100000000000001" customHeight="1" x14ac:dyDescent="0.2">
      <c r="A1" s="8" t="s">
        <v>0</v>
      </c>
      <c r="B1" s="9" t="s">
        <v>1</v>
      </c>
      <c r="C1" s="10" t="s">
        <v>2</v>
      </c>
      <c r="D1" s="11" t="s">
        <v>3</v>
      </c>
      <c r="E1" s="12" t="s">
        <v>67</v>
      </c>
      <c r="F1" s="18" t="s">
        <v>68</v>
      </c>
      <c r="G1" s="9" t="s">
        <v>72</v>
      </c>
      <c r="H1" s="11" t="s">
        <v>73</v>
      </c>
      <c r="I1" s="9" t="s">
        <v>232</v>
      </c>
      <c r="J1" s="13" t="s">
        <v>45</v>
      </c>
      <c r="K1" s="13" t="s">
        <v>46</v>
      </c>
      <c r="L1" s="13" t="s">
        <v>47</v>
      </c>
      <c r="M1" s="13" t="s">
        <v>48</v>
      </c>
      <c r="N1" s="13" t="s">
        <v>49</v>
      </c>
      <c r="O1" s="13" t="s">
        <v>50</v>
      </c>
      <c r="P1" s="13" t="s">
        <v>51</v>
      </c>
      <c r="Q1" s="13" t="s">
        <v>52</v>
      </c>
      <c r="R1" s="13" t="s">
        <v>53</v>
      </c>
      <c r="S1" s="13" t="s">
        <v>54</v>
      </c>
      <c r="T1" s="9" t="s">
        <v>233</v>
      </c>
      <c r="U1" s="9" t="s">
        <v>234</v>
      </c>
    </row>
    <row r="2" spans="1:21" x14ac:dyDescent="0.25">
      <c r="A2" s="1" t="s">
        <v>16</v>
      </c>
      <c r="B2" s="2">
        <v>180.48</v>
      </c>
      <c r="C2" s="3">
        <v>1.6599999999999966</v>
      </c>
      <c r="D2" s="4">
        <v>9.2830779554859966E-3</v>
      </c>
      <c r="E2" s="16">
        <v>90</v>
      </c>
      <c r="F2" s="17">
        <v>219.50999999999996</v>
      </c>
      <c r="G2" s="15">
        <v>-3512.7000000000003</v>
      </c>
      <c r="H2" s="14">
        <v>-0.17780511138444724</v>
      </c>
      <c r="I2" s="15" t="s">
        <v>235</v>
      </c>
      <c r="J2" s="6" t="s">
        <v>55</v>
      </c>
      <c r="K2" s="6" t="s">
        <v>56</v>
      </c>
      <c r="L2" s="6" t="s">
        <v>57</v>
      </c>
      <c r="M2" s="6" t="s">
        <v>58</v>
      </c>
      <c r="N2" s="6" t="s">
        <v>59</v>
      </c>
      <c r="O2" s="6" t="s">
        <v>22</v>
      </c>
      <c r="P2" s="6" t="s">
        <v>22</v>
      </c>
      <c r="Q2" s="6" t="s">
        <v>22</v>
      </c>
      <c r="R2" s="6" t="s">
        <v>22</v>
      </c>
      <c r="S2" s="6" t="s">
        <v>22</v>
      </c>
      <c r="T2" s="15" t="s">
        <v>236</v>
      </c>
      <c r="U2" s="15" t="s">
        <v>237</v>
      </c>
    </row>
    <row r="3" spans="1:21" x14ac:dyDescent="0.25">
      <c r="A3" s="1" t="s">
        <v>17</v>
      </c>
      <c r="B3" s="2">
        <v>191.52</v>
      </c>
      <c r="C3" s="3">
        <v>2.8500000000000227</v>
      </c>
      <c r="D3" s="4">
        <v>1.5105740181269089E-2</v>
      </c>
      <c r="E3" s="16">
        <v>269</v>
      </c>
      <c r="F3" s="17">
        <v>37.91003717472119</v>
      </c>
      <c r="G3" s="15">
        <v>41321.079999999994</v>
      </c>
      <c r="H3" s="14">
        <v>4.0519602267155657</v>
      </c>
      <c r="I3" s="15" t="s">
        <v>238</v>
      </c>
      <c r="J3" s="6" t="s">
        <v>60</v>
      </c>
      <c r="K3" s="6" t="s">
        <v>19</v>
      </c>
      <c r="L3" s="6" t="s">
        <v>57</v>
      </c>
      <c r="M3" s="6" t="s">
        <v>61</v>
      </c>
      <c r="N3" s="6" t="s">
        <v>57</v>
      </c>
      <c r="O3" s="6" t="s">
        <v>22</v>
      </c>
      <c r="P3" s="6" t="s">
        <v>22</v>
      </c>
      <c r="Q3" s="6" t="s">
        <v>22</v>
      </c>
      <c r="R3" s="6" t="s">
        <v>22</v>
      </c>
      <c r="S3" s="6" t="s">
        <v>22</v>
      </c>
      <c r="T3" s="15" t="s">
        <v>239</v>
      </c>
      <c r="U3" s="15" t="s">
        <v>240</v>
      </c>
    </row>
    <row r="4" spans="1:21" x14ac:dyDescent="0.25">
      <c r="A4" s="19">
        <v>45086</v>
      </c>
      <c r="B4" s="2">
        <v>191.52</v>
      </c>
      <c r="C4" s="3">
        <v>2.8500000000000227</v>
      </c>
      <c r="D4" s="4">
        <v>1.5105740181269089E-2</v>
      </c>
      <c r="E4" s="16">
        <v>120</v>
      </c>
      <c r="F4" s="17">
        <v>40.799999999999997</v>
      </c>
      <c r="G4" s="15">
        <v>18086.400000000001</v>
      </c>
      <c r="H4" s="14">
        <v>3.6941176470588237</v>
      </c>
      <c r="I4" s="15" t="s">
        <v>241</v>
      </c>
      <c r="J4" s="6" t="s">
        <v>104</v>
      </c>
      <c r="K4" s="6" t="s">
        <v>104</v>
      </c>
      <c r="L4" s="6" t="s">
        <v>104</v>
      </c>
      <c r="M4" s="6" t="s">
        <v>104</v>
      </c>
      <c r="N4" s="6" t="s">
        <v>104</v>
      </c>
      <c r="O4" s="6" t="s">
        <v>104</v>
      </c>
      <c r="P4" s="6" t="s">
        <v>104</v>
      </c>
      <c r="Q4" s="6" t="s">
        <v>104</v>
      </c>
      <c r="R4" s="6" t="s">
        <v>104</v>
      </c>
      <c r="S4" s="6" t="s">
        <v>104</v>
      </c>
      <c r="T4" s="15" t="s">
        <v>104</v>
      </c>
      <c r="U4" s="15" t="s">
        <v>104</v>
      </c>
    </row>
    <row r="5" spans="1:21" x14ac:dyDescent="0.25">
      <c r="A5" s="19">
        <v>45086</v>
      </c>
      <c r="B5" s="2">
        <v>191.52</v>
      </c>
      <c r="C5" s="3">
        <v>2.8500000000000227</v>
      </c>
      <c r="D5" s="4">
        <v>1.5105740181269089E-2</v>
      </c>
      <c r="E5" s="16">
        <v>144</v>
      </c>
      <c r="F5" s="17">
        <v>34.450000000000003</v>
      </c>
      <c r="G5" s="15">
        <v>22618.079999999998</v>
      </c>
      <c r="H5" s="14">
        <v>4.5593613933236572</v>
      </c>
      <c r="I5" s="15" t="s">
        <v>241</v>
      </c>
      <c r="J5" s="6" t="s">
        <v>104</v>
      </c>
      <c r="K5" s="6" t="s">
        <v>104</v>
      </c>
      <c r="L5" s="6" t="s">
        <v>104</v>
      </c>
      <c r="M5" s="6" t="s">
        <v>104</v>
      </c>
      <c r="N5" s="6" t="s">
        <v>104</v>
      </c>
      <c r="O5" s="6" t="s">
        <v>104</v>
      </c>
      <c r="P5" s="6" t="s">
        <v>104</v>
      </c>
      <c r="Q5" s="6" t="s">
        <v>104</v>
      </c>
      <c r="R5" s="6" t="s">
        <v>104</v>
      </c>
      <c r="S5" s="6" t="s">
        <v>104</v>
      </c>
      <c r="T5" s="15" t="s">
        <v>104</v>
      </c>
      <c r="U5" s="15" t="s">
        <v>104</v>
      </c>
    </row>
    <row r="6" spans="1:21" x14ac:dyDescent="0.25">
      <c r="A6" s="19">
        <v>45349</v>
      </c>
      <c r="B6" s="2">
        <v>191.52</v>
      </c>
      <c r="C6" s="3">
        <v>2.8500000000000227</v>
      </c>
      <c r="D6" s="4">
        <v>1.5105740181269089E-2</v>
      </c>
      <c r="E6" s="16">
        <v>5</v>
      </c>
      <c r="F6" s="17">
        <v>68.2</v>
      </c>
      <c r="G6" s="15">
        <v>616.6</v>
      </c>
      <c r="H6" s="14">
        <v>1.8082111436950146</v>
      </c>
      <c r="I6" s="15" t="s">
        <v>242</v>
      </c>
      <c r="J6" s="6" t="s">
        <v>104</v>
      </c>
      <c r="K6" s="6" t="s">
        <v>104</v>
      </c>
      <c r="L6" s="6" t="s">
        <v>104</v>
      </c>
      <c r="M6" s="6" t="s">
        <v>104</v>
      </c>
      <c r="N6" s="6" t="s">
        <v>104</v>
      </c>
      <c r="O6" s="6" t="s">
        <v>104</v>
      </c>
      <c r="P6" s="6" t="s">
        <v>104</v>
      </c>
      <c r="Q6" s="6" t="s">
        <v>104</v>
      </c>
      <c r="R6" s="6" t="s">
        <v>104</v>
      </c>
      <c r="S6" s="6" t="s">
        <v>104</v>
      </c>
      <c r="T6" s="15" t="s">
        <v>104</v>
      </c>
      <c r="U6" s="15" t="s">
        <v>104</v>
      </c>
    </row>
    <row r="7" spans="1:21" x14ac:dyDescent="0.25">
      <c r="A7" s="1" t="s">
        <v>18</v>
      </c>
      <c r="B7" s="2">
        <v>1733.48</v>
      </c>
      <c r="C7" s="3">
        <v>-7.5099999999999909</v>
      </c>
      <c r="D7" s="4">
        <v>-4.3136376429502299E-3</v>
      </c>
      <c r="E7" s="16">
        <v>17</v>
      </c>
      <c r="F7" s="17">
        <v>369.65</v>
      </c>
      <c r="G7" s="15">
        <v>23185.11</v>
      </c>
      <c r="H7" s="14">
        <v>3.6895171107804687</v>
      </c>
      <c r="I7" s="15" t="s">
        <v>241</v>
      </c>
      <c r="J7" s="6" t="s">
        <v>62</v>
      </c>
      <c r="K7" s="6" t="s">
        <v>61</v>
      </c>
      <c r="L7" s="6" t="s">
        <v>57</v>
      </c>
      <c r="M7" s="6" t="s">
        <v>63</v>
      </c>
      <c r="N7" s="6" t="s">
        <v>19</v>
      </c>
      <c r="O7" s="6" t="s">
        <v>22</v>
      </c>
      <c r="P7" s="6" t="s">
        <v>22</v>
      </c>
      <c r="Q7" s="6" t="s">
        <v>22</v>
      </c>
      <c r="R7" s="6" t="s">
        <v>22</v>
      </c>
      <c r="S7" s="6" t="s">
        <v>22</v>
      </c>
      <c r="T7" s="15" t="s">
        <v>239</v>
      </c>
      <c r="U7" s="15" t="s">
        <v>243</v>
      </c>
    </row>
    <row r="8" spans="1:21" x14ac:dyDescent="0.25">
      <c r="A8" s="1" t="s">
        <v>19</v>
      </c>
      <c r="B8" s="2">
        <v>40.880000000000003</v>
      </c>
      <c r="C8" s="3">
        <v>-2.7999999999999972</v>
      </c>
      <c r="D8" s="4">
        <v>-6.4102564102563986E-2</v>
      </c>
      <c r="E8" s="16">
        <v>462</v>
      </c>
      <c r="F8" s="17">
        <v>43.29</v>
      </c>
      <c r="G8" s="15">
        <v>-1113.4199999999985</v>
      </c>
      <c r="H8" s="14">
        <v>-5.5671055671055597E-2</v>
      </c>
      <c r="I8" s="15" t="s">
        <v>244</v>
      </c>
      <c r="J8" s="6" t="s">
        <v>19</v>
      </c>
      <c r="K8" s="6" t="s">
        <v>63</v>
      </c>
      <c r="L8" s="6" t="s">
        <v>57</v>
      </c>
      <c r="M8" s="6" t="s">
        <v>61</v>
      </c>
      <c r="N8" s="6" t="s">
        <v>64</v>
      </c>
      <c r="O8" s="6" t="s">
        <v>22</v>
      </c>
      <c r="P8" s="6" t="s">
        <v>22</v>
      </c>
      <c r="Q8" s="6" t="s">
        <v>22</v>
      </c>
      <c r="R8" s="6" t="s">
        <v>22</v>
      </c>
      <c r="S8" s="6" t="s">
        <v>22</v>
      </c>
      <c r="T8" s="15" t="s">
        <v>236</v>
      </c>
      <c r="U8" s="15" t="s">
        <v>237</v>
      </c>
    </row>
    <row r="9" spans="1:21" x14ac:dyDescent="0.25">
      <c r="A9" s="1" t="s">
        <v>20</v>
      </c>
      <c r="B9" s="2">
        <v>57.05</v>
      </c>
      <c r="C9" s="3">
        <v>-2.2800000000000011</v>
      </c>
      <c r="D9" s="4">
        <v>-3.8429125231754568E-2</v>
      </c>
      <c r="E9" s="16">
        <v>530</v>
      </c>
      <c r="F9" s="17">
        <v>57.1</v>
      </c>
      <c r="G9" s="15">
        <v>-26.50000000000226</v>
      </c>
      <c r="H9" s="14">
        <v>-8.756567425569924E-4</v>
      </c>
      <c r="I9" s="15" t="s">
        <v>245</v>
      </c>
      <c r="J9" s="6" t="s">
        <v>61</v>
      </c>
      <c r="K9" s="6" t="s">
        <v>59</v>
      </c>
      <c r="L9" s="6" t="s">
        <v>57</v>
      </c>
      <c r="M9" s="6" t="s">
        <v>65</v>
      </c>
      <c r="N9" s="6" t="s">
        <v>58</v>
      </c>
      <c r="O9" s="6" t="s">
        <v>22</v>
      </c>
      <c r="P9" s="6" t="s">
        <v>22</v>
      </c>
      <c r="Q9" s="6" t="s">
        <v>22</v>
      </c>
      <c r="R9" s="6" t="s">
        <v>22</v>
      </c>
      <c r="S9" s="6" t="s">
        <v>22</v>
      </c>
      <c r="T9" s="15" t="s">
        <v>246</v>
      </c>
      <c r="U9" s="15" t="s">
        <v>247</v>
      </c>
    </row>
    <row r="10" spans="1:21" x14ac:dyDescent="0.25">
      <c r="A10" s="1" t="s">
        <v>21</v>
      </c>
      <c r="B10" s="2">
        <v>51.21</v>
      </c>
      <c r="C10" s="3">
        <v>-8.9999999999996305E-2</v>
      </c>
      <c r="D10" s="4">
        <v>-1.7543859649121751E-3</v>
      </c>
      <c r="E10" s="16">
        <v>7052</v>
      </c>
      <c r="F10" s="17">
        <v>41.989541973908111</v>
      </c>
      <c r="G10" s="15">
        <v>65022.67</v>
      </c>
      <c r="H10" s="14">
        <v>0.21958939280217418</v>
      </c>
      <c r="I10" s="15" t="s">
        <v>248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66</v>
      </c>
      <c r="P10" s="6" t="s">
        <v>19</v>
      </c>
      <c r="Q10" s="6" t="s">
        <v>65</v>
      </c>
      <c r="R10" s="6" t="s">
        <v>61</v>
      </c>
      <c r="S10" s="6" t="s">
        <v>57</v>
      </c>
      <c r="T10" s="15" t="s">
        <v>249</v>
      </c>
      <c r="U10" s="15" t="s">
        <v>250</v>
      </c>
    </row>
    <row r="11" spans="1:21" x14ac:dyDescent="0.25">
      <c r="A11" s="19">
        <v>45517</v>
      </c>
      <c r="B11" s="2">
        <v>51.21</v>
      </c>
      <c r="C11" s="3">
        <v>-8.9999999999996305E-2</v>
      </c>
      <c r="D11" s="4">
        <v>-1.7543859649121751E-3</v>
      </c>
      <c r="E11" s="16">
        <v>600</v>
      </c>
      <c r="F11" s="17">
        <v>34.159999999999997</v>
      </c>
      <c r="G11" s="15">
        <v>10230.000000000002</v>
      </c>
      <c r="H11" s="14">
        <v>0.49912177985948519</v>
      </c>
      <c r="I11" s="15" t="s">
        <v>251</v>
      </c>
      <c r="J11" s="6" t="s">
        <v>104</v>
      </c>
      <c r="K11" s="6" t="s">
        <v>104</v>
      </c>
      <c r="L11" s="6" t="s">
        <v>104</v>
      </c>
      <c r="M11" s="6" t="s">
        <v>104</v>
      </c>
      <c r="N11" s="6" t="s">
        <v>104</v>
      </c>
      <c r="O11" s="6" t="s">
        <v>104</v>
      </c>
      <c r="P11" s="6" t="s">
        <v>104</v>
      </c>
      <c r="Q11" s="6" t="s">
        <v>104</v>
      </c>
      <c r="R11" s="6" t="s">
        <v>104</v>
      </c>
      <c r="S11" s="6" t="s">
        <v>104</v>
      </c>
      <c r="T11" s="15" t="s">
        <v>104</v>
      </c>
      <c r="U11" s="15" t="s">
        <v>104</v>
      </c>
    </row>
    <row r="12" spans="1:21" x14ac:dyDescent="0.25">
      <c r="A12" s="19">
        <v>45793</v>
      </c>
      <c r="B12" s="2">
        <v>51.21</v>
      </c>
      <c r="C12" s="3">
        <v>-8.9999999999996305E-2</v>
      </c>
      <c r="D12" s="4">
        <v>-1.7543859649121751E-3</v>
      </c>
      <c r="E12" s="16">
        <v>540</v>
      </c>
      <c r="F12" s="17">
        <v>37.11</v>
      </c>
      <c r="G12" s="15">
        <v>7614.0000000000009</v>
      </c>
      <c r="H12" s="14">
        <v>0.37995149555375901</v>
      </c>
      <c r="I12" s="15" t="s">
        <v>252</v>
      </c>
      <c r="J12" s="6" t="s">
        <v>104</v>
      </c>
      <c r="K12" s="6" t="s">
        <v>104</v>
      </c>
      <c r="L12" s="6" t="s">
        <v>104</v>
      </c>
      <c r="M12" s="6" t="s">
        <v>104</v>
      </c>
      <c r="N12" s="6" t="s">
        <v>104</v>
      </c>
      <c r="O12" s="6" t="s">
        <v>104</v>
      </c>
      <c r="P12" s="6" t="s">
        <v>104</v>
      </c>
      <c r="Q12" s="6" t="s">
        <v>104</v>
      </c>
      <c r="R12" s="6" t="s">
        <v>104</v>
      </c>
      <c r="S12" s="6" t="s">
        <v>104</v>
      </c>
      <c r="T12" s="15" t="s">
        <v>104</v>
      </c>
      <c r="U12" s="15" t="s">
        <v>104</v>
      </c>
    </row>
    <row r="13" spans="1:21" x14ac:dyDescent="0.25">
      <c r="A13" s="19">
        <v>45905</v>
      </c>
      <c r="B13" s="2">
        <v>51.21</v>
      </c>
      <c r="C13" s="3">
        <v>-8.9999999999996305E-2</v>
      </c>
      <c r="D13" s="4">
        <v>-1.7543859649121751E-3</v>
      </c>
      <c r="E13" s="16">
        <v>1750</v>
      </c>
      <c r="F13" s="17">
        <v>41.17</v>
      </c>
      <c r="G13" s="15">
        <v>17570</v>
      </c>
      <c r="H13" s="14">
        <v>0.24386689336895806</v>
      </c>
      <c r="I13" s="15" t="s">
        <v>253</v>
      </c>
      <c r="J13" s="6" t="s">
        <v>104</v>
      </c>
      <c r="K13" s="6" t="s">
        <v>104</v>
      </c>
      <c r="L13" s="6" t="s">
        <v>104</v>
      </c>
      <c r="M13" s="6" t="s">
        <v>104</v>
      </c>
      <c r="N13" s="6" t="s">
        <v>104</v>
      </c>
      <c r="O13" s="6" t="s">
        <v>104</v>
      </c>
      <c r="P13" s="6" t="s">
        <v>104</v>
      </c>
      <c r="Q13" s="6" t="s">
        <v>104</v>
      </c>
      <c r="R13" s="6" t="s">
        <v>104</v>
      </c>
      <c r="S13" s="6" t="s">
        <v>104</v>
      </c>
      <c r="T13" s="15" t="s">
        <v>104</v>
      </c>
      <c r="U13" s="15" t="s">
        <v>104</v>
      </c>
    </row>
    <row r="14" spans="1:21" x14ac:dyDescent="0.25">
      <c r="A14" s="19">
        <v>45981</v>
      </c>
      <c r="B14" s="2">
        <v>51.21</v>
      </c>
      <c r="C14" s="3">
        <v>-8.9999999999996305E-2</v>
      </c>
      <c r="D14" s="4">
        <v>-1.7543859649121751E-3</v>
      </c>
      <c r="E14" s="16">
        <v>2335</v>
      </c>
      <c r="F14" s="17">
        <v>42.88</v>
      </c>
      <c r="G14" s="15">
        <v>19450.549999999996</v>
      </c>
      <c r="H14" s="14">
        <v>0.19426305970149252</v>
      </c>
      <c r="I14" s="15" t="s">
        <v>254</v>
      </c>
      <c r="J14" s="6" t="s">
        <v>104</v>
      </c>
      <c r="K14" s="6" t="s">
        <v>104</v>
      </c>
      <c r="L14" s="6" t="s">
        <v>104</v>
      </c>
      <c r="M14" s="6" t="s">
        <v>104</v>
      </c>
      <c r="N14" s="6" t="s">
        <v>104</v>
      </c>
      <c r="O14" s="6" t="s">
        <v>104</v>
      </c>
      <c r="P14" s="6" t="s">
        <v>104</v>
      </c>
      <c r="Q14" s="6" t="s">
        <v>104</v>
      </c>
      <c r="R14" s="6" t="s">
        <v>104</v>
      </c>
      <c r="S14" s="6" t="s">
        <v>104</v>
      </c>
      <c r="T14" s="15" t="s">
        <v>104</v>
      </c>
      <c r="U14" s="15" t="s">
        <v>104</v>
      </c>
    </row>
    <row r="15" spans="1:21" x14ac:dyDescent="0.25">
      <c r="A15" s="19">
        <v>46071</v>
      </c>
      <c r="B15" s="2">
        <v>51.21</v>
      </c>
      <c r="C15" s="3">
        <v>-8.9999999999996305E-2</v>
      </c>
      <c r="D15" s="4">
        <v>-1.7543859649121751E-3</v>
      </c>
      <c r="E15" s="16">
        <v>1827</v>
      </c>
      <c r="F15" s="17">
        <v>45.65</v>
      </c>
      <c r="G15" s="15">
        <v>10158.120000000004</v>
      </c>
      <c r="H15" s="14">
        <v>0.12179627601314348</v>
      </c>
      <c r="I15" s="15" t="s">
        <v>235</v>
      </c>
      <c r="J15" s="6" t="s">
        <v>104</v>
      </c>
      <c r="K15" s="6" t="s">
        <v>104</v>
      </c>
      <c r="L15" s="6" t="s">
        <v>104</v>
      </c>
      <c r="M15" s="6" t="s">
        <v>104</v>
      </c>
      <c r="N15" s="6" t="s">
        <v>104</v>
      </c>
      <c r="O15" s="6" t="s">
        <v>104</v>
      </c>
      <c r="P15" s="6" t="s">
        <v>104</v>
      </c>
      <c r="Q15" s="6" t="s">
        <v>104</v>
      </c>
      <c r="R15" s="6" t="s">
        <v>104</v>
      </c>
      <c r="S15" s="6" t="s">
        <v>104</v>
      </c>
      <c r="T15" s="15" t="s">
        <v>104</v>
      </c>
      <c r="U15" s="15" t="s">
        <v>104</v>
      </c>
    </row>
    <row r="16" spans="1:21" x14ac:dyDescent="0.25">
      <c r="A16" s="1" t="s">
        <v>23</v>
      </c>
      <c r="B16" s="2">
        <v>36.54</v>
      </c>
      <c r="C16" s="3">
        <v>2.2299999999999969</v>
      </c>
      <c r="D16" s="4">
        <v>6.4995628096764735E-2</v>
      </c>
      <c r="E16" s="16">
        <v>782</v>
      </c>
      <c r="F16" s="17">
        <v>32.206496163682864</v>
      </c>
      <c r="G16" s="15">
        <v>3388.7999999999984</v>
      </c>
      <c r="H16" s="14">
        <v>0.13455371904764168</v>
      </c>
      <c r="I16" s="15" t="s">
        <v>255</v>
      </c>
      <c r="J16" s="6" t="s">
        <v>63</v>
      </c>
      <c r="K16" s="6" t="s">
        <v>63</v>
      </c>
      <c r="L16" s="6" t="s">
        <v>61</v>
      </c>
      <c r="M16" s="6" t="s">
        <v>66</v>
      </c>
      <c r="N16" s="6" t="s">
        <v>19</v>
      </c>
      <c r="O16" s="6" t="s">
        <v>22</v>
      </c>
      <c r="P16" s="6" t="s">
        <v>22</v>
      </c>
      <c r="Q16" s="6" t="s">
        <v>22</v>
      </c>
      <c r="R16" s="6" t="s">
        <v>22</v>
      </c>
      <c r="S16" s="6" t="s">
        <v>22</v>
      </c>
      <c r="T16" s="15" t="s">
        <v>236</v>
      </c>
      <c r="U16" s="15" t="s">
        <v>256</v>
      </c>
    </row>
    <row r="17" spans="1:21" x14ac:dyDescent="0.25">
      <c r="A17" s="19">
        <v>46044</v>
      </c>
      <c r="B17" s="2">
        <v>36.54</v>
      </c>
      <c r="C17" s="3">
        <v>2.2299999999999969</v>
      </c>
      <c r="D17" s="4">
        <v>6.4995628096764735E-2</v>
      </c>
      <c r="E17" s="16">
        <v>482</v>
      </c>
      <c r="F17" s="17">
        <v>31.14</v>
      </c>
      <c r="G17" s="15">
        <v>2602.7999999999993</v>
      </c>
      <c r="H17" s="14">
        <v>0.17341040462427748</v>
      </c>
      <c r="I17" s="15" t="s">
        <v>257</v>
      </c>
      <c r="J17" s="6" t="s">
        <v>104</v>
      </c>
      <c r="K17" s="6" t="s">
        <v>104</v>
      </c>
      <c r="L17" s="6" t="s">
        <v>104</v>
      </c>
      <c r="M17" s="6" t="s">
        <v>104</v>
      </c>
      <c r="N17" s="6" t="s">
        <v>104</v>
      </c>
      <c r="O17" s="6" t="s">
        <v>104</v>
      </c>
      <c r="P17" s="6" t="s">
        <v>104</v>
      </c>
      <c r="Q17" s="6" t="s">
        <v>104</v>
      </c>
      <c r="R17" s="6" t="s">
        <v>104</v>
      </c>
      <c r="S17" s="6" t="s">
        <v>104</v>
      </c>
      <c r="T17" s="15" t="s">
        <v>104</v>
      </c>
      <c r="U17" s="15" t="s">
        <v>104</v>
      </c>
    </row>
    <row r="18" spans="1:21" x14ac:dyDescent="0.25">
      <c r="A18" s="19">
        <v>46052</v>
      </c>
      <c r="B18" s="2">
        <v>36.54</v>
      </c>
      <c r="C18" s="3">
        <v>2.2299999999999969</v>
      </c>
      <c r="D18" s="4">
        <v>6.4995628096764735E-2</v>
      </c>
      <c r="E18" s="16">
        <v>300</v>
      </c>
      <c r="F18" s="17">
        <v>33.92</v>
      </c>
      <c r="G18" s="15">
        <v>785.9999999999992</v>
      </c>
      <c r="H18" s="14">
        <v>7.7240566037735769E-2</v>
      </c>
      <c r="I18" s="15" t="s">
        <v>258</v>
      </c>
      <c r="J18" s="6" t="s">
        <v>104</v>
      </c>
      <c r="K18" s="6" t="s">
        <v>104</v>
      </c>
      <c r="L18" s="6" t="s">
        <v>104</v>
      </c>
      <c r="M18" s="6" t="s">
        <v>104</v>
      </c>
      <c r="N18" s="6" t="s">
        <v>104</v>
      </c>
      <c r="O18" s="6" t="s">
        <v>104</v>
      </c>
      <c r="P18" s="6" t="s">
        <v>104</v>
      </c>
      <c r="Q18" s="6" t="s">
        <v>104</v>
      </c>
      <c r="R18" s="6" t="s">
        <v>104</v>
      </c>
      <c r="S18" s="6" t="s">
        <v>104</v>
      </c>
      <c r="T18" s="15" t="s">
        <v>104</v>
      </c>
      <c r="U18" s="15" t="s">
        <v>104</v>
      </c>
    </row>
    <row r="19" spans="1:21" x14ac:dyDescent="0.25">
      <c r="A19" s="1" t="s">
        <v>24</v>
      </c>
      <c r="B19" s="2">
        <v>42.53</v>
      </c>
      <c r="C19" s="3">
        <v>-1.8999999999999986</v>
      </c>
      <c r="D19" s="4">
        <v>-4.2763898266936717E-2</v>
      </c>
      <c r="E19" s="16">
        <v>470</v>
      </c>
      <c r="F19" s="17">
        <v>42.82</v>
      </c>
      <c r="G19" s="15">
        <v>-136.29999999999961</v>
      </c>
      <c r="H19" s="14">
        <v>-6.7725361980382802E-3</v>
      </c>
      <c r="I19" s="15" t="s">
        <v>245</v>
      </c>
      <c r="J19" s="6" t="s">
        <v>59</v>
      </c>
      <c r="K19" s="6" t="s">
        <v>19</v>
      </c>
      <c r="L19" s="6" t="s">
        <v>55</v>
      </c>
      <c r="M19" s="6" t="s">
        <v>59</v>
      </c>
      <c r="N19" s="6" t="s">
        <v>56</v>
      </c>
      <c r="O19" s="6" t="s">
        <v>22</v>
      </c>
      <c r="P19" s="6" t="s">
        <v>22</v>
      </c>
      <c r="Q19" s="6" t="s">
        <v>22</v>
      </c>
      <c r="R19" s="6" t="s">
        <v>22</v>
      </c>
      <c r="S19" s="6" t="s">
        <v>22</v>
      </c>
      <c r="T19" s="15" t="s">
        <v>239</v>
      </c>
      <c r="U19" s="15" t="s">
        <v>259</v>
      </c>
    </row>
    <row r="20" spans="1:21" x14ac:dyDescent="0.25">
      <c r="A20" s="1" t="s">
        <v>25</v>
      </c>
      <c r="B20" s="2">
        <v>62.16</v>
      </c>
      <c r="C20" s="3">
        <v>3.9299999999999997</v>
      </c>
      <c r="D20" s="4">
        <v>6.749098402885112E-2</v>
      </c>
      <c r="E20" s="16">
        <v>325</v>
      </c>
      <c r="F20" s="17">
        <v>61.57</v>
      </c>
      <c r="G20" s="15">
        <v>191.74999999999881</v>
      </c>
      <c r="H20" s="14">
        <v>9.5825889231768123E-3</v>
      </c>
      <c r="I20" s="15" t="s">
        <v>245</v>
      </c>
      <c r="J20" s="6" t="s">
        <v>60</v>
      </c>
      <c r="K20" s="6" t="s">
        <v>66</v>
      </c>
      <c r="L20" s="6" t="s">
        <v>60</v>
      </c>
      <c r="M20" s="6" t="s">
        <v>60</v>
      </c>
      <c r="N20" s="6" t="s">
        <v>56</v>
      </c>
      <c r="O20" s="6" t="s">
        <v>22</v>
      </c>
      <c r="P20" s="6" t="s">
        <v>22</v>
      </c>
      <c r="Q20" s="6" t="s">
        <v>22</v>
      </c>
      <c r="R20" s="6" t="s">
        <v>22</v>
      </c>
      <c r="S20" s="6" t="s">
        <v>22</v>
      </c>
      <c r="T20" s="15" t="s">
        <v>260</v>
      </c>
      <c r="U20" s="15" t="s">
        <v>261</v>
      </c>
    </row>
    <row r="21" spans="1:21" x14ac:dyDescent="0.25">
      <c r="A21" s="1" t="s">
        <v>26</v>
      </c>
      <c r="B21" s="2">
        <v>62.42</v>
      </c>
      <c r="C21" s="3">
        <v>1.6499999999999986</v>
      </c>
      <c r="D21" s="4">
        <v>2.7151555043607001E-2</v>
      </c>
      <c r="E21" s="16">
        <v>220</v>
      </c>
      <c r="F21" s="17">
        <v>92.17</v>
      </c>
      <c r="G21" s="15">
        <v>-6545</v>
      </c>
      <c r="H21" s="14">
        <v>-0.32277313659542151</v>
      </c>
      <c r="I21" s="15" t="s">
        <v>262</v>
      </c>
      <c r="J21" s="6" t="s">
        <v>60</v>
      </c>
      <c r="K21" s="6" t="s">
        <v>61</v>
      </c>
      <c r="L21" s="6" t="s">
        <v>60</v>
      </c>
      <c r="M21" s="6" t="s">
        <v>56</v>
      </c>
      <c r="N21" s="6" t="s">
        <v>65</v>
      </c>
      <c r="O21" s="6" t="s">
        <v>22</v>
      </c>
      <c r="P21" s="6" t="s">
        <v>22</v>
      </c>
      <c r="Q21" s="6" t="s">
        <v>22</v>
      </c>
      <c r="R21" s="6" t="s">
        <v>22</v>
      </c>
      <c r="S21" s="6" t="s">
        <v>22</v>
      </c>
      <c r="T21" s="15" t="s">
        <v>260</v>
      </c>
      <c r="U21" s="15" t="s">
        <v>261</v>
      </c>
    </row>
    <row r="22" spans="1:21" x14ac:dyDescent="0.25">
      <c r="A22" s="1" t="s">
        <v>27</v>
      </c>
      <c r="B22" s="2">
        <v>289.72000000000003</v>
      </c>
      <c r="C22" s="3">
        <v>3.0500000000000114</v>
      </c>
      <c r="D22" s="4">
        <v>1.0639411169637514E-2</v>
      </c>
      <c r="E22" s="16">
        <v>140</v>
      </c>
      <c r="F22" s="17">
        <v>290.5</v>
      </c>
      <c r="G22" s="15">
        <v>-109.19999999999618</v>
      </c>
      <c r="H22" s="14">
        <v>-2.6850258175558439E-3</v>
      </c>
      <c r="I22" s="15" t="s">
        <v>245</v>
      </c>
      <c r="J22" s="6" t="s">
        <v>59</v>
      </c>
      <c r="K22" s="6" t="s">
        <v>19</v>
      </c>
      <c r="L22" s="6" t="s">
        <v>63</v>
      </c>
      <c r="M22" s="6" t="s">
        <v>56</v>
      </c>
      <c r="N22" s="6" t="s">
        <v>57</v>
      </c>
      <c r="O22" s="6" t="s">
        <v>22</v>
      </c>
      <c r="P22" s="6" t="s">
        <v>22</v>
      </c>
      <c r="Q22" s="6" t="s">
        <v>22</v>
      </c>
      <c r="R22" s="6" t="s">
        <v>22</v>
      </c>
      <c r="S22" s="6" t="s">
        <v>22</v>
      </c>
      <c r="T22" s="15" t="s">
        <v>260</v>
      </c>
      <c r="U22" s="15" t="s">
        <v>261</v>
      </c>
    </row>
    <row r="23" spans="1:21" x14ac:dyDescent="0.25">
      <c r="A23" s="1" t="s">
        <v>28</v>
      </c>
      <c r="B23" s="2">
        <v>603.16</v>
      </c>
      <c r="C23" s="3">
        <v>15.209999999999923</v>
      </c>
      <c r="D23" s="4">
        <v>2.586954673016395E-2</v>
      </c>
      <c r="E23" s="16">
        <v>70</v>
      </c>
      <c r="F23" s="17">
        <v>600.47</v>
      </c>
      <c r="G23" s="15">
        <v>188.29999999999586</v>
      </c>
      <c r="H23" s="14">
        <v>4.4798241377586572E-3</v>
      </c>
      <c r="I23" s="15" t="s">
        <v>245</v>
      </c>
      <c r="J23" s="6" t="s">
        <v>64</v>
      </c>
      <c r="K23" s="6" t="s">
        <v>58</v>
      </c>
      <c r="L23" s="6" t="s">
        <v>57</v>
      </c>
      <c r="M23" s="6" t="s">
        <v>19</v>
      </c>
      <c r="N23" s="6" t="s">
        <v>61</v>
      </c>
      <c r="O23" s="6" t="s">
        <v>22</v>
      </c>
      <c r="P23" s="6" t="s">
        <v>22</v>
      </c>
      <c r="Q23" s="6" t="s">
        <v>22</v>
      </c>
      <c r="R23" s="6" t="s">
        <v>22</v>
      </c>
      <c r="S23" s="6" t="s">
        <v>22</v>
      </c>
      <c r="T23" s="15" t="s">
        <v>260</v>
      </c>
      <c r="U23" s="15" t="s">
        <v>261</v>
      </c>
    </row>
    <row r="24" spans="1:21" x14ac:dyDescent="0.25">
      <c r="A24" s="1" t="s">
        <v>29</v>
      </c>
      <c r="B24" s="2">
        <v>25.39</v>
      </c>
      <c r="C24" s="3">
        <v>-0.16000000000000014</v>
      </c>
      <c r="D24" s="4">
        <v>-6.2622309197651882E-3</v>
      </c>
      <c r="E24" s="16">
        <v>540</v>
      </c>
      <c r="F24" s="17">
        <v>29.4</v>
      </c>
      <c r="G24" s="15">
        <v>-2165.3999999999987</v>
      </c>
      <c r="H24" s="14">
        <v>-0.13639455782312918</v>
      </c>
      <c r="I24" s="15" t="s">
        <v>263</v>
      </c>
      <c r="J24" s="6" t="s">
        <v>22</v>
      </c>
      <c r="K24" s="6" t="s">
        <v>22</v>
      </c>
      <c r="L24" s="6" t="s">
        <v>22</v>
      </c>
      <c r="M24" s="6" t="s">
        <v>22</v>
      </c>
      <c r="N24" s="6" t="s">
        <v>22</v>
      </c>
      <c r="O24" s="6" t="s">
        <v>22</v>
      </c>
      <c r="P24" s="6" t="s">
        <v>22</v>
      </c>
      <c r="Q24" s="6" t="s">
        <v>22</v>
      </c>
      <c r="R24" s="6" t="s">
        <v>22</v>
      </c>
      <c r="S24" s="6" t="s">
        <v>22</v>
      </c>
      <c r="T24" s="15" t="s">
        <v>264</v>
      </c>
      <c r="U24" s="15" t="s">
        <v>239</v>
      </c>
    </row>
    <row r="25" spans="1:21" x14ac:dyDescent="0.25">
      <c r="A25" s="1" t="s">
        <v>30</v>
      </c>
      <c r="B25" s="2">
        <v>164.92</v>
      </c>
      <c r="C25" s="3">
        <v>1.5099999999999909</v>
      </c>
      <c r="D25" s="4">
        <v>9.2405605532097645E-3</v>
      </c>
      <c r="E25" s="16">
        <v>180</v>
      </c>
      <c r="F25" s="17">
        <v>164.54</v>
      </c>
      <c r="G25" s="15">
        <v>68.399999999999181</v>
      </c>
      <c r="H25" s="14">
        <v>2.3094688221708733E-3</v>
      </c>
      <c r="I25" s="15" t="s">
        <v>245</v>
      </c>
      <c r="J25" s="6" t="s">
        <v>65</v>
      </c>
      <c r="K25" s="6" t="s">
        <v>66</v>
      </c>
      <c r="L25" s="6" t="s">
        <v>66</v>
      </c>
      <c r="M25" s="6" t="s">
        <v>65</v>
      </c>
      <c r="N25" s="6" t="s">
        <v>59</v>
      </c>
      <c r="O25" s="6" t="s">
        <v>22</v>
      </c>
      <c r="P25" s="6" t="s">
        <v>22</v>
      </c>
      <c r="Q25" s="6" t="s">
        <v>22</v>
      </c>
      <c r="R25" s="6" t="s">
        <v>22</v>
      </c>
      <c r="S25" s="6" t="s">
        <v>22</v>
      </c>
      <c r="T25" s="15" t="s">
        <v>265</v>
      </c>
      <c r="U25" s="15" t="s">
        <v>266</v>
      </c>
    </row>
    <row r="26" spans="1:21" x14ac:dyDescent="0.25">
      <c r="A26" s="1" t="s">
        <v>31</v>
      </c>
      <c r="B26" s="2">
        <v>117.26</v>
      </c>
      <c r="C26" s="3">
        <v>4.2800000000000011</v>
      </c>
      <c r="D26" s="4">
        <v>3.7882811117011972E-2</v>
      </c>
      <c r="E26" s="16">
        <v>150</v>
      </c>
      <c r="F26" s="17">
        <v>98.82</v>
      </c>
      <c r="G26" s="15">
        <v>2766.0000000000018</v>
      </c>
      <c r="H26" s="14">
        <v>0.18660190244889713</v>
      </c>
      <c r="I26" s="15" t="s">
        <v>244</v>
      </c>
      <c r="J26" s="6" t="s">
        <v>59</v>
      </c>
      <c r="K26" s="6" t="s">
        <v>58</v>
      </c>
      <c r="L26" s="6" t="s">
        <v>57</v>
      </c>
      <c r="M26" s="6" t="s">
        <v>19</v>
      </c>
      <c r="N26" s="6" t="s">
        <v>59</v>
      </c>
      <c r="O26" s="6" t="s">
        <v>22</v>
      </c>
      <c r="P26" s="6" t="s">
        <v>22</v>
      </c>
      <c r="Q26" s="6" t="s">
        <v>22</v>
      </c>
      <c r="R26" s="6" t="s">
        <v>22</v>
      </c>
      <c r="S26" s="6" t="s">
        <v>22</v>
      </c>
      <c r="T26" s="15" t="s">
        <v>236</v>
      </c>
      <c r="U26" s="15" t="s">
        <v>237</v>
      </c>
    </row>
    <row r="27" spans="1:21" x14ac:dyDescent="0.25">
      <c r="A27" s="1" t="s">
        <v>32</v>
      </c>
      <c r="B27" s="2">
        <v>577.89</v>
      </c>
      <c r="C27" s="3">
        <v>6.3099999999999454</v>
      </c>
      <c r="D27" s="4">
        <v>1.1039574512754058E-2</v>
      </c>
      <c r="E27" s="16">
        <v>70</v>
      </c>
      <c r="F27" s="17">
        <v>575.63</v>
      </c>
      <c r="G27" s="15">
        <v>158.19999999999936</v>
      </c>
      <c r="H27" s="14">
        <v>3.9261331063356513E-3</v>
      </c>
      <c r="I27" s="15" t="s">
        <v>245</v>
      </c>
      <c r="J27" s="6" t="s">
        <v>56</v>
      </c>
      <c r="K27" s="6" t="s">
        <v>55</v>
      </c>
      <c r="L27" s="6" t="s">
        <v>66</v>
      </c>
      <c r="M27" s="6" t="s">
        <v>59</v>
      </c>
      <c r="N27" s="6" t="s">
        <v>63</v>
      </c>
      <c r="O27" s="6" t="s">
        <v>22</v>
      </c>
      <c r="P27" s="6" t="s">
        <v>22</v>
      </c>
      <c r="Q27" s="6" t="s">
        <v>22</v>
      </c>
      <c r="R27" s="6" t="s">
        <v>22</v>
      </c>
      <c r="S27" s="6" t="s">
        <v>22</v>
      </c>
      <c r="T27" s="15" t="s">
        <v>260</v>
      </c>
      <c r="U27" s="15" t="s">
        <v>261</v>
      </c>
    </row>
    <row r="28" spans="1:21" x14ac:dyDescent="0.25">
      <c r="A28" s="1" t="s">
        <v>33</v>
      </c>
      <c r="B28" s="2">
        <v>9.31</v>
      </c>
      <c r="C28" s="3">
        <v>0.20000000000000107</v>
      </c>
      <c r="D28" s="4">
        <v>2.1953896816685026E-2</v>
      </c>
      <c r="E28" s="16">
        <v>3485</v>
      </c>
      <c r="F28" s="17">
        <v>8.5352080344332855</v>
      </c>
      <c r="G28" s="15">
        <v>2700.1500000000024</v>
      </c>
      <c r="H28" s="14">
        <v>9.0775990748087163E-2</v>
      </c>
      <c r="I28" s="15" t="s">
        <v>267</v>
      </c>
      <c r="J28" s="6" t="s">
        <v>65</v>
      </c>
      <c r="K28" s="6" t="s">
        <v>57</v>
      </c>
      <c r="L28" s="6" t="s">
        <v>60</v>
      </c>
      <c r="M28" s="6" t="s">
        <v>61</v>
      </c>
      <c r="N28" s="6" t="s">
        <v>61</v>
      </c>
      <c r="O28" s="6" t="s">
        <v>22</v>
      </c>
      <c r="P28" s="6" t="s">
        <v>22</v>
      </c>
      <c r="Q28" s="6" t="s">
        <v>22</v>
      </c>
      <c r="R28" s="6" t="s">
        <v>22</v>
      </c>
      <c r="S28" s="6" t="s">
        <v>22</v>
      </c>
      <c r="T28" s="15" t="s">
        <v>239</v>
      </c>
      <c r="U28" s="15" t="s">
        <v>240</v>
      </c>
    </row>
    <row r="29" spans="1:21" ht="15" x14ac:dyDescent="0.25">
      <c r="A29" s="19">
        <v>46226</v>
      </c>
      <c r="B29" s="2">
        <v>9.31</v>
      </c>
      <c r="C29" s="3">
        <v>0.20000000000000107</v>
      </c>
      <c r="D29" s="4">
        <v>2.1953896816685026E-2</v>
      </c>
      <c r="E29" s="16">
        <v>1885</v>
      </c>
      <c r="F29" s="17">
        <v>7.92</v>
      </c>
      <c r="G29" s="15">
        <v>2620.150000000001</v>
      </c>
      <c r="H29" s="14">
        <v>0.17550505050505058</v>
      </c>
      <c r="I29" s="15" t="s">
        <v>268</v>
      </c>
      <c r="J29" s="6" t="s">
        <v>104</v>
      </c>
      <c r="K29" s="6" t="s">
        <v>104</v>
      </c>
      <c r="L29" s="6" t="s">
        <v>104</v>
      </c>
      <c r="M29" s="6" t="s">
        <v>104</v>
      </c>
      <c r="N29" s="6" t="s">
        <v>104</v>
      </c>
      <c r="O29" s="6" t="s">
        <v>104</v>
      </c>
      <c r="P29" s="6" t="s">
        <v>104</v>
      </c>
      <c r="Q29" s="6" t="s">
        <v>104</v>
      </c>
      <c r="R29" s="6" t="s">
        <v>104</v>
      </c>
      <c r="S29" s="6" t="s">
        <v>104</v>
      </c>
      <c r="T29" s="15" t="s">
        <v>104</v>
      </c>
      <c r="U29" s="15" t="s">
        <v>104</v>
      </c>
    </row>
    <row r="30" spans="1:21" ht="15" x14ac:dyDescent="0.25">
      <c r="A30" s="19">
        <v>46244</v>
      </c>
      <c r="B30" s="2">
        <v>9.31</v>
      </c>
      <c r="C30" s="3">
        <v>0.20000000000000107</v>
      </c>
      <c r="D30" s="4">
        <v>2.1953896816685026E-2</v>
      </c>
      <c r="E30" s="16">
        <v>1600</v>
      </c>
      <c r="F30" s="17">
        <v>9.26</v>
      </c>
      <c r="G30" s="15">
        <v>80.000000000001137</v>
      </c>
      <c r="H30" s="14">
        <v>5.3995680345573227E-3</v>
      </c>
      <c r="I30" s="15" t="s">
        <v>245</v>
      </c>
      <c r="J30" s="6" t="s">
        <v>104</v>
      </c>
      <c r="K30" s="6" t="s">
        <v>104</v>
      </c>
      <c r="L30" s="6" t="s">
        <v>104</v>
      </c>
      <c r="M30" s="6" t="s">
        <v>104</v>
      </c>
      <c r="N30" s="6" t="s">
        <v>104</v>
      </c>
      <c r="O30" s="6" t="s">
        <v>104</v>
      </c>
      <c r="P30" s="6" t="s">
        <v>104</v>
      </c>
      <c r="Q30" s="6" t="s">
        <v>104</v>
      </c>
      <c r="R30" s="6" t="s">
        <v>104</v>
      </c>
      <c r="S30" s="6" t="s">
        <v>104</v>
      </c>
      <c r="T30" s="15" t="s">
        <v>104</v>
      </c>
      <c r="U30" s="15" t="s">
        <v>104</v>
      </c>
    </row>
    <row r="31" spans="1:21" ht="30" x14ac:dyDescent="0.25">
      <c r="A31" s="1" t="s">
        <v>34</v>
      </c>
      <c r="B31" s="2">
        <v>151.05000000000001</v>
      </c>
      <c r="C31" s="3">
        <v>4.0300000000000011</v>
      </c>
      <c r="D31" s="4">
        <v>2.7411236566453612E-2</v>
      </c>
      <c r="E31" s="16">
        <v>890</v>
      </c>
      <c r="F31" s="17">
        <v>84</v>
      </c>
      <c r="G31" s="15">
        <v>59674.500000000007</v>
      </c>
      <c r="H31" s="14">
        <v>0.79821428571428588</v>
      </c>
      <c r="I31" s="15" t="s">
        <v>269</v>
      </c>
      <c r="J31" s="6" t="s">
        <v>58</v>
      </c>
      <c r="K31" s="6" t="s">
        <v>61</v>
      </c>
      <c r="L31" s="6" t="s">
        <v>57</v>
      </c>
      <c r="M31" s="6" t="s">
        <v>55</v>
      </c>
      <c r="N31" s="6" t="s">
        <v>58</v>
      </c>
      <c r="O31" s="6" t="s">
        <v>22</v>
      </c>
      <c r="P31" s="6" t="s">
        <v>22</v>
      </c>
      <c r="Q31" s="6" t="s">
        <v>22</v>
      </c>
      <c r="R31" s="6" t="s">
        <v>22</v>
      </c>
      <c r="S31" s="6" t="s">
        <v>22</v>
      </c>
      <c r="T31" s="15" t="s">
        <v>239</v>
      </c>
      <c r="U31" s="15" t="s">
        <v>270</v>
      </c>
    </row>
    <row r="32" spans="1:21" ht="15" x14ac:dyDescent="0.25">
      <c r="A32" s="19">
        <v>44931</v>
      </c>
      <c r="B32" s="2">
        <v>151.05000000000001</v>
      </c>
      <c r="C32" s="3">
        <v>4.0300000000000011</v>
      </c>
      <c r="D32" s="4">
        <v>2.7411236566453612E-2</v>
      </c>
      <c r="E32" s="16">
        <v>445</v>
      </c>
      <c r="F32" s="17">
        <v>84</v>
      </c>
      <c r="G32" s="15">
        <v>29837.250000000004</v>
      </c>
      <c r="H32" s="14">
        <v>0.79821428571428588</v>
      </c>
      <c r="I32" s="15" t="s">
        <v>271</v>
      </c>
      <c r="J32" s="6" t="s">
        <v>104</v>
      </c>
      <c r="K32" s="6" t="s">
        <v>104</v>
      </c>
      <c r="L32" s="6" t="s">
        <v>104</v>
      </c>
      <c r="M32" s="6" t="s">
        <v>104</v>
      </c>
      <c r="N32" s="6" t="s">
        <v>104</v>
      </c>
      <c r="O32" s="6" t="s">
        <v>104</v>
      </c>
      <c r="P32" s="6" t="s">
        <v>104</v>
      </c>
      <c r="Q32" s="6" t="s">
        <v>104</v>
      </c>
      <c r="R32" s="6" t="s">
        <v>104</v>
      </c>
      <c r="S32" s="6" t="s">
        <v>104</v>
      </c>
      <c r="T32" s="15" t="s">
        <v>104</v>
      </c>
      <c r="U32" s="15" t="s">
        <v>104</v>
      </c>
    </row>
    <row r="33" spans="1:21" ht="15" x14ac:dyDescent="0.25">
      <c r="A33" s="19">
        <v>46034</v>
      </c>
      <c r="B33" s="2">
        <v>151.05000000000001</v>
      </c>
      <c r="C33" s="3">
        <v>4.0300000000000011</v>
      </c>
      <c r="D33" s="4">
        <v>2.7411236566453612E-2</v>
      </c>
      <c r="E33" s="16">
        <v>445</v>
      </c>
      <c r="F33" s="17">
        <v>84</v>
      </c>
      <c r="G33" s="15">
        <v>29837.250000000004</v>
      </c>
      <c r="H33" s="14">
        <v>0.79821428571428588</v>
      </c>
      <c r="I33" s="15" t="s">
        <v>272</v>
      </c>
      <c r="J33" s="6" t="s">
        <v>104</v>
      </c>
      <c r="K33" s="6" t="s">
        <v>104</v>
      </c>
      <c r="L33" s="6" t="s">
        <v>104</v>
      </c>
      <c r="M33" s="6" t="s">
        <v>104</v>
      </c>
      <c r="N33" s="6" t="s">
        <v>104</v>
      </c>
      <c r="O33" s="6" t="s">
        <v>104</v>
      </c>
      <c r="P33" s="6" t="s">
        <v>104</v>
      </c>
      <c r="Q33" s="6" t="s">
        <v>104</v>
      </c>
      <c r="R33" s="6" t="s">
        <v>104</v>
      </c>
      <c r="S33" s="6" t="s">
        <v>104</v>
      </c>
      <c r="T33" s="15" t="s">
        <v>104</v>
      </c>
      <c r="U33" s="15" t="s">
        <v>104</v>
      </c>
    </row>
    <row r="34" spans="1:21" ht="18.75" x14ac:dyDescent="0.25">
      <c r="A34" s="1" t="s">
        <v>35</v>
      </c>
      <c r="B34" s="2">
        <v>51.8</v>
      </c>
      <c r="C34" s="3">
        <v>0.57999999999999829</v>
      </c>
      <c r="D34" s="4">
        <v>1.1323701679031517E-2</v>
      </c>
      <c r="E34" s="16">
        <v>400</v>
      </c>
      <c r="F34" s="17">
        <v>50.05</v>
      </c>
      <c r="G34" s="15">
        <v>700</v>
      </c>
      <c r="H34" s="14">
        <v>3.4965034965034968E-2</v>
      </c>
      <c r="I34" s="15" t="s">
        <v>244</v>
      </c>
      <c r="J34" s="6" t="s">
        <v>55</v>
      </c>
      <c r="K34" s="6" t="s">
        <v>61</v>
      </c>
      <c r="L34" s="6" t="s">
        <v>57</v>
      </c>
      <c r="M34" s="6" t="s">
        <v>65</v>
      </c>
      <c r="N34" s="6" t="s">
        <v>59</v>
      </c>
      <c r="O34" s="6" t="s">
        <v>22</v>
      </c>
      <c r="P34" s="6" t="s">
        <v>22</v>
      </c>
      <c r="Q34" s="6" t="s">
        <v>22</v>
      </c>
      <c r="R34" s="6" t="s">
        <v>22</v>
      </c>
      <c r="S34" s="6" t="s">
        <v>22</v>
      </c>
      <c r="T34" s="15" t="s">
        <v>236</v>
      </c>
      <c r="U34" s="15" t="s">
        <v>237</v>
      </c>
    </row>
    <row r="35" spans="1:21" ht="30" x14ac:dyDescent="0.25">
      <c r="A35" s="1" t="s">
        <v>36</v>
      </c>
      <c r="B35" s="2">
        <v>186</v>
      </c>
      <c r="C35" s="3">
        <v>-3.5699999999999932</v>
      </c>
      <c r="D35" s="4">
        <v>-1.8832093685709705E-2</v>
      </c>
      <c r="E35" s="16">
        <v>245</v>
      </c>
      <c r="F35" s="17">
        <v>163.07285714285715</v>
      </c>
      <c r="G35" s="15">
        <v>5617.15</v>
      </c>
      <c r="H35" s="14">
        <v>0.14059447573827649</v>
      </c>
      <c r="I35" s="15" t="s">
        <v>273</v>
      </c>
      <c r="J35" s="6" t="s">
        <v>55</v>
      </c>
      <c r="K35" s="6" t="s">
        <v>58</v>
      </c>
      <c r="L35" s="6" t="s">
        <v>57</v>
      </c>
      <c r="M35" s="6" t="s">
        <v>61</v>
      </c>
      <c r="N35" s="6" t="s">
        <v>59</v>
      </c>
      <c r="O35" s="6" t="s">
        <v>22</v>
      </c>
      <c r="P35" s="6" t="s">
        <v>22</v>
      </c>
      <c r="Q35" s="6" t="s">
        <v>22</v>
      </c>
      <c r="R35" s="6" t="s">
        <v>22</v>
      </c>
      <c r="S35" s="6" t="s">
        <v>22</v>
      </c>
      <c r="T35" s="15" t="s">
        <v>246</v>
      </c>
      <c r="U35" s="15" t="s">
        <v>247</v>
      </c>
    </row>
    <row r="36" spans="1:21" ht="15" x14ac:dyDescent="0.25">
      <c r="A36" s="19">
        <v>46008</v>
      </c>
      <c r="B36" s="2">
        <v>186</v>
      </c>
      <c r="C36" s="3">
        <v>-3.5699999999999932</v>
      </c>
      <c r="D36" s="4">
        <v>-1.8832093685709705E-2</v>
      </c>
      <c r="E36" s="16">
        <v>190</v>
      </c>
      <c r="F36" s="17">
        <v>157.4</v>
      </c>
      <c r="G36" s="15">
        <v>5433.9999999999991</v>
      </c>
      <c r="H36" s="14">
        <v>0.18170266836086402</v>
      </c>
      <c r="I36" s="15" t="s">
        <v>244</v>
      </c>
      <c r="J36" s="6" t="s">
        <v>104</v>
      </c>
      <c r="K36" s="6" t="s">
        <v>104</v>
      </c>
      <c r="L36" s="6" t="s">
        <v>104</v>
      </c>
      <c r="M36" s="6" t="s">
        <v>104</v>
      </c>
      <c r="N36" s="6" t="s">
        <v>104</v>
      </c>
      <c r="O36" s="6" t="s">
        <v>104</v>
      </c>
      <c r="P36" s="6" t="s">
        <v>104</v>
      </c>
      <c r="Q36" s="6" t="s">
        <v>104</v>
      </c>
      <c r="R36" s="6" t="s">
        <v>104</v>
      </c>
      <c r="S36" s="6" t="s">
        <v>104</v>
      </c>
      <c r="T36" s="15" t="s">
        <v>104</v>
      </c>
      <c r="U36" s="15" t="s">
        <v>104</v>
      </c>
    </row>
    <row r="37" spans="1:21" ht="15" x14ac:dyDescent="0.25">
      <c r="A37" s="19">
        <v>46071</v>
      </c>
      <c r="B37" s="2">
        <v>186</v>
      </c>
      <c r="C37" s="3">
        <v>-3.5699999999999932</v>
      </c>
      <c r="D37" s="4">
        <v>-1.8832093685709705E-2</v>
      </c>
      <c r="E37" s="16">
        <v>55</v>
      </c>
      <c r="F37" s="17">
        <v>182.67</v>
      </c>
      <c r="G37" s="15">
        <v>183.15000000000069</v>
      </c>
      <c r="H37" s="14">
        <v>1.8229594350468226E-2</v>
      </c>
      <c r="I37" s="15" t="s">
        <v>235</v>
      </c>
      <c r="J37" s="6" t="s">
        <v>104</v>
      </c>
      <c r="K37" s="6" t="s">
        <v>104</v>
      </c>
      <c r="L37" s="6" t="s">
        <v>104</v>
      </c>
      <c r="M37" s="6" t="s">
        <v>104</v>
      </c>
      <c r="N37" s="6" t="s">
        <v>104</v>
      </c>
      <c r="O37" s="6" t="s">
        <v>104</v>
      </c>
      <c r="P37" s="6" t="s">
        <v>104</v>
      </c>
      <c r="Q37" s="6" t="s">
        <v>104</v>
      </c>
      <c r="R37" s="6" t="s">
        <v>104</v>
      </c>
      <c r="S37" s="6" t="s">
        <v>104</v>
      </c>
      <c r="T37" s="15" t="s">
        <v>104</v>
      </c>
      <c r="U37" s="15" t="s">
        <v>104</v>
      </c>
    </row>
    <row r="38" spans="1:21" ht="18.75" x14ac:dyDescent="0.25">
      <c r="A38" s="1" t="s">
        <v>37</v>
      </c>
      <c r="B38" s="2">
        <v>184.02</v>
      </c>
      <c r="C38" s="3">
        <v>0.24000000000000909</v>
      </c>
      <c r="D38" s="4">
        <v>1.3059092393079563E-3</v>
      </c>
      <c r="E38" s="16">
        <v>495</v>
      </c>
      <c r="F38" s="17">
        <v>147.08404040404039</v>
      </c>
      <c r="G38" s="15">
        <v>18283.300000000003</v>
      </c>
      <c r="H38" s="14">
        <v>0.25112146426285537</v>
      </c>
      <c r="I38" s="15" t="s">
        <v>274</v>
      </c>
      <c r="J38" s="6" t="s">
        <v>22</v>
      </c>
      <c r="K38" s="6" t="s">
        <v>22</v>
      </c>
      <c r="L38" s="6" t="s">
        <v>22</v>
      </c>
      <c r="M38" s="6" t="s">
        <v>22</v>
      </c>
      <c r="N38" s="6" t="s">
        <v>22</v>
      </c>
      <c r="O38" s="6" t="s">
        <v>57</v>
      </c>
      <c r="P38" s="6" t="s">
        <v>58</v>
      </c>
      <c r="Q38" s="6" t="s">
        <v>19</v>
      </c>
      <c r="R38" s="6" t="s">
        <v>59</v>
      </c>
      <c r="S38" s="6" t="s">
        <v>66</v>
      </c>
      <c r="T38" s="15" t="s">
        <v>264</v>
      </c>
      <c r="U38" s="15" t="s">
        <v>260</v>
      </c>
    </row>
    <row r="39" spans="1:21" ht="15" x14ac:dyDescent="0.25">
      <c r="A39" s="19">
        <v>45415</v>
      </c>
      <c r="B39" s="2">
        <v>184.02</v>
      </c>
      <c r="C39" s="3">
        <v>0.24000000000000909</v>
      </c>
      <c r="D39" s="4">
        <v>1.3059092393079563E-3</v>
      </c>
      <c r="E39" s="16">
        <v>100</v>
      </c>
      <c r="F39" s="17">
        <v>102.351</v>
      </c>
      <c r="G39" s="15">
        <v>8166.9000000000015</v>
      </c>
      <c r="H39" s="14">
        <v>0.79793065040888711</v>
      </c>
      <c r="I39" s="15" t="s">
        <v>275</v>
      </c>
      <c r="J39" s="6" t="s">
        <v>104</v>
      </c>
      <c r="K39" s="6" t="s">
        <v>104</v>
      </c>
      <c r="L39" s="6" t="s">
        <v>104</v>
      </c>
      <c r="M39" s="6" t="s">
        <v>104</v>
      </c>
      <c r="N39" s="6" t="s">
        <v>104</v>
      </c>
      <c r="O39" s="6" t="s">
        <v>104</v>
      </c>
      <c r="P39" s="6" t="s">
        <v>104</v>
      </c>
      <c r="Q39" s="6" t="s">
        <v>104</v>
      </c>
      <c r="R39" s="6" t="s">
        <v>104</v>
      </c>
      <c r="S39" s="6" t="s">
        <v>104</v>
      </c>
      <c r="T39" s="15" t="s">
        <v>104</v>
      </c>
      <c r="U39" s="15" t="s">
        <v>104</v>
      </c>
    </row>
    <row r="40" spans="1:21" ht="15" x14ac:dyDescent="0.25">
      <c r="A40" s="19">
        <v>45569</v>
      </c>
      <c r="B40" s="2">
        <v>184.02</v>
      </c>
      <c r="C40" s="3">
        <v>0.24000000000000909</v>
      </c>
      <c r="D40" s="4">
        <v>1.3059092393079563E-3</v>
      </c>
      <c r="E40" s="16">
        <v>100</v>
      </c>
      <c r="F40" s="17">
        <v>116.11</v>
      </c>
      <c r="G40" s="15">
        <v>6791.0000000000009</v>
      </c>
      <c r="H40" s="14">
        <v>0.58487641030057702</v>
      </c>
      <c r="I40" s="15" t="s">
        <v>276</v>
      </c>
      <c r="J40" s="6" t="s">
        <v>104</v>
      </c>
      <c r="K40" s="6" t="s">
        <v>104</v>
      </c>
      <c r="L40" s="6" t="s">
        <v>104</v>
      </c>
      <c r="M40" s="6" t="s">
        <v>104</v>
      </c>
      <c r="N40" s="6" t="s">
        <v>104</v>
      </c>
      <c r="O40" s="6" t="s">
        <v>104</v>
      </c>
      <c r="P40" s="6" t="s">
        <v>104</v>
      </c>
      <c r="Q40" s="6" t="s">
        <v>104</v>
      </c>
      <c r="R40" s="6" t="s">
        <v>104</v>
      </c>
      <c r="S40" s="6" t="s">
        <v>104</v>
      </c>
      <c r="T40" s="15" t="s">
        <v>104</v>
      </c>
      <c r="U40" s="15" t="s">
        <v>104</v>
      </c>
    </row>
    <row r="41" spans="1:21" ht="15" x14ac:dyDescent="0.25">
      <c r="A41" s="19">
        <v>46071</v>
      </c>
      <c r="B41" s="2">
        <v>184.02</v>
      </c>
      <c r="C41" s="3">
        <v>0.24000000000000909</v>
      </c>
      <c r="D41" s="4">
        <v>1.3059092393079563E-3</v>
      </c>
      <c r="E41" s="16">
        <v>115</v>
      </c>
      <c r="F41" s="17">
        <v>178.3</v>
      </c>
      <c r="G41" s="15">
        <v>657.79999999999984</v>
      </c>
      <c r="H41" s="14">
        <v>3.2080762759394421E-2</v>
      </c>
      <c r="I41" s="15" t="s">
        <v>235</v>
      </c>
      <c r="J41" s="6" t="s">
        <v>104</v>
      </c>
      <c r="K41" s="6" t="s">
        <v>104</v>
      </c>
      <c r="L41" s="6" t="s">
        <v>104</v>
      </c>
      <c r="M41" s="6" t="s">
        <v>104</v>
      </c>
      <c r="N41" s="6" t="s">
        <v>104</v>
      </c>
      <c r="O41" s="6" t="s">
        <v>104</v>
      </c>
      <c r="P41" s="6" t="s">
        <v>104</v>
      </c>
      <c r="Q41" s="6" t="s">
        <v>104</v>
      </c>
      <c r="R41" s="6" t="s">
        <v>104</v>
      </c>
      <c r="S41" s="6" t="s">
        <v>104</v>
      </c>
      <c r="T41" s="15" t="s">
        <v>104</v>
      </c>
      <c r="U41" s="15" t="s">
        <v>104</v>
      </c>
    </row>
    <row r="42" spans="1:21" ht="15" x14ac:dyDescent="0.25">
      <c r="A42" s="19">
        <v>46107</v>
      </c>
      <c r="B42" s="2">
        <v>184.02</v>
      </c>
      <c r="C42" s="3">
        <v>0.24000000000000909</v>
      </c>
      <c r="D42" s="4">
        <v>1.3059092393079563E-3</v>
      </c>
      <c r="E42" s="16">
        <v>180</v>
      </c>
      <c r="F42" s="17">
        <v>169.2</v>
      </c>
      <c r="G42" s="15">
        <v>2667.600000000004</v>
      </c>
      <c r="H42" s="14">
        <v>8.7588652482269533E-2</v>
      </c>
      <c r="I42" s="15" t="s">
        <v>277</v>
      </c>
      <c r="J42" s="6" t="s">
        <v>104</v>
      </c>
      <c r="K42" s="6" t="s">
        <v>104</v>
      </c>
      <c r="L42" s="6" t="s">
        <v>104</v>
      </c>
      <c r="M42" s="6" t="s">
        <v>104</v>
      </c>
      <c r="N42" s="6" t="s">
        <v>104</v>
      </c>
      <c r="O42" s="6" t="s">
        <v>104</v>
      </c>
      <c r="P42" s="6" t="s">
        <v>104</v>
      </c>
      <c r="Q42" s="6" t="s">
        <v>104</v>
      </c>
      <c r="R42" s="6" t="s">
        <v>104</v>
      </c>
      <c r="S42" s="6" t="s">
        <v>104</v>
      </c>
      <c r="T42" s="15" t="s">
        <v>104</v>
      </c>
      <c r="U42" s="15" t="s">
        <v>104</v>
      </c>
    </row>
    <row r="43" spans="1:21" ht="45" x14ac:dyDescent="0.25">
      <c r="A43" s="1" t="s">
        <v>38</v>
      </c>
      <c r="B43" s="2">
        <v>21.23</v>
      </c>
      <c r="C43" s="3">
        <v>1.0800000000000018</v>
      </c>
      <c r="D43" s="4">
        <v>5.3598014888337486E-2</v>
      </c>
      <c r="E43" s="16">
        <v>720</v>
      </c>
      <c r="F43" s="17">
        <v>22.31</v>
      </c>
      <c r="G43" s="15">
        <v>-777.59999999999877</v>
      </c>
      <c r="H43" s="14">
        <v>-4.8408785298072542E-2</v>
      </c>
      <c r="I43" s="15" t="s">
        <v>263</v>
      </c>
      <c r="J43" s="6" t="s">
        <v>64</v>
      </c>
      <c r="K43" s="6" t="s">
        <v>56</v>
      </c>
      <c r="L43" s="6" t="s">
        <v>61</v>
      </c>
      <c r="M43" s="6" t="s">
        <v>63</v>
      </c>
      <c r="N43" s="6" t="s">
        <v>61</v>
      </c>
      <c r="O43" s="6" t="s">
        <v>22</v>
      </c>
      <c r="P43" s="6" t="s">
        <v>22</v>
      </c>
      <c r="Q43" s="6" t="s">
        <v>22</v>
      </c>
      <c r="R43" s="6" t="s">
        <v>22</v>
      </c>
      <c r="S43" s="6" t="s">
        <v>22</v>
      </c>
      <c r="T43" s="15" t="s">
        <v>278</v>
      </c>
      <c r="U43" s="15" t="s">
        <v>279</v>
      </c>
    </row>
    <row r="44" spans="1:21" ht="30" x14ac:dyDescent="0.25">
      <c r="A44" s="1" t="s">
        <v>39</v>
      </c>
      <c r="B44" s="2">
        <v>33.47</v>
      </c>
      <c r="C44" s="3">
        <v>-0.17000000000000171</v>
      </c>
      <c r="D44" s="4">
        <v>-5.0535077288942354E-3</v>
      </c>
      <c r="E44" s="16">
        <v>3300</v>
      </c>
      <c r="F44" s="17">
        <v>28.290909090909089</v>
      </c>
      <c r="G44" s="15">
        <v>17091</v>
      </c>
      <c r="H44" s="14">
        <v>0.18306555269922878</v>
      </c>
      <c r="I44" s="15" t="s">
        <v>280</v>
      </c>
      <c r="J44" s="6" t="s">
        <v>22</v>
      </c>
      <c r="K44" s="6" t="s">
        <v>22</v>
      </c>
      <c r="L44" s="6" t="s">
        <v>22</v>
      </c>
      <c r="M44" s="6" t="s">
        <v>22</v>
      </c>
      <c r="N44" s="6" t="s">
        <v>22</v>
      </c>
      <c r="O44" s="6" t="s">
        <v>65</v>
      </c>
      <c r="P44" s="6" t="s">
        <v>57</v>
      </c>
      <c r="Q44" s="6" t="s">
        <v>56</v>
      </c>
      <c r="R44" s="6" t="s">
        <v>61</v>
      </c>
      <c r="S44" s="6" t="s">
        <v>63</v>
      </c>
      <c r="T44" s="15" t="s">
        <v>281</v>
      </c>
      <c r="U44" s="15" t="s">
        <v>282</v>
      </c>
    </row>
    <row r="45" spans="1:21" ht="15" x14ac:dyDescent="0.25">
      <c r="A45" s="19">
        <v>45905</v>
      </c>
      <c r="B45" s="2">
        <v>33.47</v>
      </c>
      <c r="C45" s="3">
        <v>-0.17000000000000171</v>
      </c>
      <c r="D45" s="4">
        <v>-5.0535077288942354E-3</v>
      </c>
      <c r="E45" s="16">
        <v>1500</v>
      </c>
      <c r="F45" s="17">
        <v>28.16</v>
      </c>
      <c r="G45" s="15">
        <v>7964.9999999999982</v>
      </c>
      <c r="H45" s="14">
        <v>0.18856534090909083</v>
      </c>
      <c r="I45" s="15" t="s">
        <v>253</v>
      </c>
      <c r="J45" s="6" t="s">
        <v>104</v>
      </c>
      <c r="K45" s="6" t="s">
        <v>104</v>
      </c>
      <c r="L45" s="6" t="s">
        <v>104</v>
      </c>
      <c r="M45" s="6" t="s">
        <v>104</v>
      </c>
      <c r="N45" s="6" t="s">
        <v>104</v>
      </c>
      <c r="O45" s="6" t="s">
        <v>104</v>
      </c>
      <c r="P45" s="6" t="s">
        <v>104</v>
      </c>
      <c r="Q45" s="6" t="s">
        <v>104</v>
      </c>
      <c r="R45" s="6" t="s">
        <v>104</v>
      </c>
      <c r="S45" s="6" t="s">
        <v>104</v>
      </c>
      <c r="T45" s="15" t="s">
        <v>104</v>
      </c>
      <c r="U45" s="15" t="s">
        <v>104</v>
      </c>
    </row>
    <row r="46" spans="1:21" ht="15" x14ac:dyDescent="0.25">
      <c r="A46" s="19">
        <v>45950</v>
      </c>
      <c r="B46" s="2">
        <v>33.47</v>
      </c>
      <c r="C46" s="3">
        <v>-0.17000000000000171</v>
      </c>
      <c r="D46" s="4">
        <v>-5.0535077288942354E-3</v>
      </c>
      <c r="E46" s="16">
        <v>1800</v>
      </c>
      <c r="F46" s="17">
        <v>28.4</v>
      </c>
      <c r="G46" s="15">
        <v>9126</v>
      </c>
      <c r="H46" s="14">
        <v>0.17852112676056328</v>
      </c>
      <c r="I46" s="15" t="s">
        <v>283</v>
      </c>
      <c r="J46" s="6" t="s">
        <v>104</v>
      </c>
      <c r="K46" s="6" t="s">
        <v>104</v>
      </c>
      <c r="L46" s="6" t="s">
        <v>104</v>
      </c>
      <c r="M46" s="6" t="s">
        <v>104</v>
      </c>
      <c r="N46" s="6" t="s">
        <v>104</v>
      </c>
      <c r="O46" s="6" t="s">
        <v>104</v>
      </c>
      <c r="P46" s="6" t="s">
        <v>104</v>
      </c>
      <c r="Q46" s="6" t="s">
        <v>104</v>
      </c>
      <c r="R46" s="6" t="s">
        <v>104</v>
      </c>
      <c r="S46" s="6" t="s">
        <v>104</v>
      </c>
      <c r="T46" s="15" t="s">
        <v>104</v>
      </c>
      <c r="U46" s="15" t="s">
        <v>104</v>
      </c>
    </row>
    <row r="47" spans="1:21" ht="30" x14ac:dyDescent="0.25">
      <c r="A47" s="1" t="s">
        <v>40</v>
      </c>
      <c r="B47" s="2">
        <v>39.369999999999997</v>
      </c>
      <c r="C47" s="3">
        <v>-0.27000000000000313</v>
      </c>
      <c r="D47" s="4">
        <v>-6.8113017154389777E-3</v>
      </c>
      <c r="E47" s="16">
        <v>360</v>
      </c>
      <c r="F47" s="17">
        <v>42.23</v>
      </c>
      <c r="G47" s="15">
        <v>-1029.5999999999999</v>
      </c>
      <c r="H47" s="14">
        <v>-6.7724366564053992E-2</v>
      </c>
      <c r="I47" s="15" t="s">
        <v>268</v>
      </c>
      <c r="J47" s="6" t="s">
        <v>58</v>
      </c>
      <c r="K47" s="6" t="s">
        <v>63</v>
      </c>
      <c r="L47" s="6" t="s">
        <v>59</v>
      </c>
      <c r="M47" s="6" t="s">
        <v>58</v>
      </c>
      <c r="N47" s="6" t="s">
        <v>19</v>
      </c>
      <c r="O47" s="6" t="s">
        <v>22</v>
      </c>
      <c r="P47" s="6" t="s">
        <v>22</v>
      </c>
      <c r="Q47" s="6" t="s">
        <v>22</v>
      </c>
      <c r="R47" s="6" t="s">
        <v>22</v>
      </c>
      <c r="S47" s="6" t="s">
        <v>22</v>
      </c>
      <c r="T47" s="15" t="s">
        <v>260</v>
      </c>
      <c r="U47" s="15" t="s">
        <v>261</v>
      </c>
    </row>
    <row r="48" spans="1:21" ht="45" x14ac:dyDescent="0.25">
      <c r="A48" s="1" t="s">
        <v>41</v>
      </c>
      <c r="B48" s="2">
        <v>19.04</v>
      </c>
      <c r="C48" s="3">
        <v>-0.28999999999999915</v>
      </c>
      <c r="D48" s="4">
        <v>-1.500258665287113E-2</v>
      </c>
      <c r="E48" s="16">
        <v>710</v>
      </c>
      <c r="F48" s="17">
        <v>28.35</v>
      </c>
      <c r="G48" s="15">
        <v>-6610.1000000000013</v>
      </c>
      <c r="H48" s="14">
        <v>-0.32839506172839511</v>
      </c>
      <c r="I48" s="15" t="s">
        <v>255</v>
      </c>
      <c r="J48" s="6" t="s">
        <v>60</v>
      </c>
      <c r="K48" s="6" t="s">
        <v>57</v>
      </c>
      <c r="L48" s="6" t="s">
        <v>56</v>
      </c>
      <c r="M48" s="6" t="s">
        <v>56</v>
      </c>
      <c r="N48" s="6" t="s">
        <v>60</v>
      </c>
      <c r="O48" s="6" t="s">
        <v>22</v>
      </c>
      <c r="P48" s="6" t="s">
        <v>22</v>
      </c>
      <c r="Q48" s="6" t="s">
        <v>22</v>
      </c>
      <c r="R48" s="6" t="s">
        <v>22</v>
      </c>
      <c r="S48" s="6" t="s">
        <v>22</v>
      </c>
      <c r="T48" s="15" t="s">
        <v>236</v>
      </c>
      <c r="U48" s="15" t="s">
        <v>284</v>
      </c>
    </row>
    <row r="49" spans="1:21" ht="18.75" x14ac:dyDescent="0.25">
      <c r="A49" s="20" t="s">
        <v>103</v>
      </c>
      <c r="B49" s="2" t="s">
        <v>22</v>
      </c>
      <c r="C49" s="3" t="s">
        <v>22</v>
      </c>
      <c r="D49" s="4">
        <v>5.2813604687435688E-3</v>
      </c>
      <c r="E49" s="16" t="s">
        <v>22</v>
      </c>
      <c r="F49" s="17" t="s">
        <v>22</v>
      </c>
      <c r="G49" s="15">
        <v>218330.59000000003</v>
      </c>
      <c r="H49" s="14">
        <v>0.21124095078353611</v>
      </c>
      <c r="I49" s="15" t="s">
        <v>285</v>
      </c>
      <c r="J49" s="6" t="s">
        <v>104</v>
      </c>
      <c r="K49" s="6" t="s">
        <v>104</v>
      </c>
      <c r="L49" s="6" t="s">
        <v>104</v>
      </c>
      <c r="M49" s="6" t="s">
        <v>104</v>
      </c>
      <c r="N49" s="6" t="s">
        <v>104</v>
      </c>
      <c r="O49" s="6" t="s">
        <v>104</v>
      </c>
      <c r="P49" s="6" t="s">
        <v>104</v>
      </c>
      <c r="Q49" s="6" t="s">
        <v>104</v>
      </c>
      <c r="R49" s="6" t="s">
        <v>104</v>
      </c>
      <c r="S49" s="6" t="s">
        <v>104</v>
      </c>
      <c r="T49" s="15" t="s">
        <v>104</v>
      </c>
      <c r="U49" s="15" t="s">
        <v>104</v>
      </c>
    </row>
  </sheetData>
  <conditionalFormatting sqref="B2:B49">
    <cfRule type="cellIs" dxfId="236" priority="1" operator="between">
      <formula>-9995</formula>
      <formula>9995</formula>
    </cfRule>
    <cfRule type="cellIs" dxfId="235" priority="2" operator="greaterThan">
      <formula>999999950000</formula>
    </cfRule>
    <cfRule type="cellIs" dxfId="234" priority="3" operator="greaterThan">
      <formula>999995000</formula>
    </cfRule>
    <cfRule type="cellIs" dxfId="233" priority="4" operator="greaterThan">
      <formula>999500</formula>
    </cfRule>
    <cfRule type="cellIs" dxfId="232" priority="5" operator="greaterThan">
      <formula>9995</formula>
    </cfRule>
    <cfRule type="cellIs" dxfId="231" priority="6" operator="lessThan">
      <formula>-999999950000</formula>
    </cfRule>
    <cfRule type="cellIs" dxfId="230" priority="7" operator="lessThan">
      <formula>-999995000</formula>
    </cfRule>
    <cfRule type="cellIs" dxfId="229" priority="8" operator="lessThan">
      <formula>-999500</formula>
    </cfRule>
    <cfRule type="cellIs" dxfId="228" priority="9" operator="lessThan">
      <formula>-9995</formula>
    </cfRule>
  </conditionalFormatting>
  <conditionalFormatting sqref="C2:C49">
    <cfRule type="cellIs" dxfId="227" priority="10" operator="greaterThan">
      <formula>0</formula>
    </cfRule>
    <cfRule type="cellIs" dxfId="226" priority="11" operator="lessThan">
      <formula>0</formula>
    </cfRule>
  </conditionalFormatting>
  <conditionalFormatting sqref="D2:D49">
    <cfRule type="cellIs" dxfId="225" priority="12" operator="greaterThan">
      <formula>0</formula>
    </cfRule>
    <cfRule type="cellIs" dxfId="224" priority="13" operator="lessThan">
      <formula>0</formula>
    </cfRule>
  </conditionalFormatting>
  <conditionalFormatting sqref="F2:F49">
    <cfRule type="cellIs" dxfId="223" priority="14" operator="between">
      <formula>-9995</formula>
      <formula>9995</formula>
    </cfRule>
    <cfRule type="cellIs" dxfId="222" priority="15" operator="greaterThan">
      <formula>999999950000</formula>
    </cfRule>
    <cfRule type="cellIs" dxfId="221" priority="16" operator="greaterThan">
      <formula>999995000</formula>
    </cfRule>
    <cfRule type="cellIs" dxfId="220" priority="17" operator="greaterThan">
      <formula>999500</formula>
    </cfRule>
    <cfRule type="cellIs" dxfId="219" priority="18" operator="greaterThan">
      <formula>9995</formula>
    </cfRule>
    <cfRule type="cellIs" dxfId="218" priority="19" operator="lessThan">
      <formula>-999999950000</formula>
    </cfRule>
    <cfRule type="cellIs" dxfId="217" priority="20" operator="lessThan">
      <formula>-999995000</formula>
    </cfRule>
    <cfRule type="cellIs" dxfId="216" priority="21" operator="lessThan">
      <formula>-999500</formula>
    </cfRule>
    <cfRule type="cellIs" dxfId="215" priority="22" operator="lessThan">
      <formula>-9995</formula>
    </cfRule>
  </conditionalFormatting>
  <conditionalFormatting sqref="G2:G49">
    <cfRule type="cellIs" dxfId="214" priority="23" operator="between">
      <formula>-9995</formula>
      <formula>9995</formula>
    </cfRule>
    <cfRule type="cellIs" dxfId="213" priority="24" operator="greaterThan">
      <formula>999999950000</formula>
    </cfRule>
    <cfRule type="cellIs" dxfId="212" priority="25" operator="greaterThan">
      <formula>999995000</formula>
    </cfRule>
    <cfRule type="cellIs" dxfId="211" priority="26" operator="greaterThan">
      <formula>999500</formula>
    </cfRule>
    <cfRule type="cellIs" dxfId="210" priority="27" operator="greaterThan">
      <formula>9995</formula>
    </cfRule>
    <cfRule type="cellIs" dxfId="209" priority="28" operator="lessThan">
      <formula>-999999950000</formula>
    </cfRule>
    <cfRule type="cellIs" dxfId="208" priority="29" operator="lessThan">
      <formula>-999995000</formula>
    </cfRule>
    <cfRule type="cellIs" dxfId="207" priority="30" operator="lessThan">
      <formula>-999500</formula>
    </cfRule>
    <cfRule type="cellIs" dxfId="206" priority="31" operator="lessThan">
      <formula>-9995</formula>
    </cfRule>
    <cfRule type="cellIs" dxfId="205" priority="32" operator="greaterThan">
      <formula>0</formula>
    </cfRule>
    <cfRule type="cellIs" dxfId="204" priority="33" operator="lessThan">
      <formula>0</formula>
    </cfRule>
  </conditionalFormatting>
  <conditionalFormatting sqref="H2:H49">
    <cfRule type="cellIs" dxfId="203" priority="34" operator="greaterThan">
      <formula>0</formula>
    </cfRule>
    <cfRule type="cellIs" dxfId="202" priority="35" operator="lessThan">
      <formula>0</formula>
    </cfRule>
  </conditionalFormatting>
  <conditionalFormatting sqref="J2:J49">
    <cfRule type="cellIs" dxfId="201" priority="36" operator="equal">
      <formula>"A+"</formula>
    </cfRule>
    <cfRule type="cellIs" dxfId="200" priority="37" operator="equal">
      <formula>"A"</formula>
    </cfRule>
    <cfRule type="cellIs" dxfId="199" priority="38" operator="equal">
      <formula>"A-"</formula>
    </cfRule>
    <cfRule type="cellIs" dxfId="198" priority="39" operator="equal">
      <formula>"B+"</formula>
    </cfRule>
    <cfRule type="cellIs" dxfId="197" priority="40" operator="equal">
      <formula>"B"</formula>
    </cfRule>
    <cfRule type="cellIs" dxfId="196" priority="41" operator="equal">
      <formula>"B-"</formula>
    </cfRule>
    <cfRule type="cellIs" dxfId="195" priority="42" operator="equal">
      <formula>"C+"</formula>
    </cfRule>
    <cfRule type="cellIs" dxfId="194" priority="43" operator="equal">
      <formula>"C"</formula>
    </cfRule>
    <cfRule type="cellIs" dxfId="193" priority="44" operator="equal">
      <formula>"C-"</formula>
    </cfRule>
    <cfRule type="cellIs" dxfId="192" priority="45" operator="equal">
      <formula>"D+"</formula>
    </cfRule>
    <cfRule type="cellIs" dxfId="191" priority="46" operator="equal">
      <formula>"D"</formula>
    </cfRule>
    <cfRule type="cellIs" dxfId="190" priority="47" operator="equal">
      <formula>"D-"</formula>
    </cfRule>
    <cfRule type="cellIs" dxfId="189" priority="48" operator="equal">
      <formula>"F"</formula>
    </cfRule>
    <cfRule type="notContainsBlanks" dxfId="188" priority="49">
      <formula>LEN(TRIM(J2))&gt;0</formula>
    </cfRule>
  </conditionalFormatting>
  <conditionalFormatting sqref="K2:K49">
    <cfRule type="cellIs" dxfId="187" priority="50" operator="equal">
      <formula>"A+"</formula>
    </cfRule>
    <cfRule type="cellIs" dxfId="186" priority="51" operator="equal">
      <formula>"A"</formula>
    </cfRule>
    <cfRule type="cellIs" dxfId="185" priority="52" operator="equal">
      <formula>"A-"</formula>
    </cfRule>
    <cfRule type="cellIs" dxfId="184" priority="53" operator="equal">
      <formula>"B+"</formula>
    </cfRule>
    <cfRule type="cellIs" dxfId="183" priority="54" operator="equal">
      <formula>"B"</formula>
    </cfRule>
    <cfRule type="cellIs" dxfId="182" priority="55" operator="equal">
      <formula>"B-"</formula>
    </cfRule>
    <cfRule type="cellIs" dxfId="181" priority="56" operator="equal">
      <formula>"C+"</formula>
    </cfRule>
    <cfRule type="cellIs" dxfId="180" priority="57" operator="equal">
      <formula>"C"</formula>
    </cfRule>
    <cfRule type="cellIs" dxfId="179" priority="58" operator="equal">
      <formula>"C-"</formula>
    </cfRule>
    <cfRule type="cellIs" dxfId="178" priority="59" operator="equal">
      <formula>"D+"</formula>
    </cfRule>
    <cfRule type="cellIs" dxfId="177" priority="60" operator="equal">
      <formula>"D"</formula>
    </cfRule>
    <cfRule type="cellIs" dxfId="176" priority="61" operator="equal">
      <formula>"D-"</formula>
    </cfRule>
    <cfRule type="cellIs" dxfId="175" priority="62" operator="equal">
      <formula>"F"</formula>
    </cfRule>
    <cfRule type="notContainsBlanks" dxfId="174" priority="63">
      <formula>LEN(TRIM(K2))&gt;0</formula>
    </cfRule>
  </conditionalFormatting>
  <conditionalFormatting sqref="L2:L49">
    <cfRule type="cellIs" dxfId="173" priority="64" operator="equal">
      <formula>"A+"</formula>
    </cfRule>
    <cfRule type="cellIs" dxfId="172" priority="65" operator="equal">
      <formula>"A"</formula>
    </cfRule>
    <cfRule type="cellIs" dxfId="171" priority="66" operator="equal">
      <formula>"A-"</formula>
    </cfRule>
    <cfRule type="cellIs" dxfId="170" priority="67" operator="equal">
      <formula>"B+"</formula>
    </cfRule>
    <cfRule type="cellIs" dxfId="169" priority="68" operator="equal">
      <formula>"B"</formula>
    </cfRule>
    <cfRule type="cellIs" dxfId="168" priority="69" operator="equal">
      <formula>"B-"</formula>
    </cfRule>
    <cfRule type="cellIs" dxfId="167" priority="70" operator="equal">
      <formula>"C+"</formula>
    </cfRule>
    <cfRule type="cellIs" dxfId="166" priority="71" operator="equal">
      <formula>"C"</formula>
    </cfRule>
    <cfRule type="cellIs" dxfId="165" priority="72" operator="equal">
      <formula>"C-"</formula>
    </cfRule>
    <cfRule type="cellIs" dxfId="164" priority="73" operator="equal">
      <formula>"D+"</formula>
    </cfRule>
    <cfRule type="cellIs" dxfId="163" priority="74" operator="equal">
      <formula>"D"</formula>
    </cfRule>
    <cfRule type="cellIs" dxfId="162" priority="75" operator="equal">
      <formula>"D-"</formula>
    </cfRule>
    <cfRule type="cellIs" dxfId="161" priority="76" operator="equal">
      <formula>"F"</formula>
    </cfRule>
    <cfRule type="notContainsBlanks" dxfId="160" priority="77">
      <formula>LEN(TRIM(L2))&gt;0</formula>
    </cfRule>
  </conditionalFormatting>
  <conditionalFormatting sqref="M2:M49">
    <cfRule type="cellIs" dxfId="159" priority="78" operator="equal">
      <formula>"A+"</formula>
    </cfRule>
    <cfRule type="cellIs" dxfId="158" priority="79" operator="equal">
      <formula>"A"</formula>
    </cfRule>
    <cfRule type="cellIs" dxfId="157" priority="80" operator="equal">
      <formula>"A-"</formula>
    </cfRule>
    <cfRule type="cellIs" dxfId="156" priority="81" operator="equal">
      <formula>"B+"</formula>
    </cfRule>
    <cfRule type="cellIs" dxfId="155" priority="82" operator="equal">
      <formula>"B"</formula>
    </cfRule>
    <cfRule type="cellIs" dxfId="154" priority="83" operator="equal">
      <formula>"B-"</formula>
    </cfRule>
    <cfRule type="cellIs" dxfId="153" priority="84" operator="equal">
      <formula>"C+"</formula>
    </cfRule>
    <cfRule type="cellIs" dxfId="152" priority="85" operator="equal">
      <formula>"C"</formula>
    </cfRule>
    <cfRule type="cellIs" dxfId="151" priority="86" operator="equal">
      <formula>"C-"</formula>
    </cfRule>
    <cfRule type="cellIs" dxfId="150" priority="87" operator="equal">
      <formula>"D+"</formula>
    </cfRule>
    <cfRule type="cellIs" dxfId="149" priority="88" operator="equal">
      <formula>"D"</formula>
    </cfRule>
    <cfRule type="cellIs" dxfId="148" priority="89" operator="equal">
      <formula>"D-"</formula>
    </cfRule>
    <cfRule type="cellIs" dxfId="147" priority="90" operator="equal">
      <formula>"F"</formula>
    </cfRule>
    <cfRule type="notContainsBlanks" dxfId="146" priority="91">
      <formula>LEN(TRIM(M2))&gt;0</formula>
    </cfRule>
  </conditionalFormatting>
  <conditionalFormatting sqref="N2:N49">
    <cfRule type="cellIs" dxfId="145" priority="92" operator="equal">
      <formula>"A+"</formula>
    </cfRule>
    <cfRule type="cellIs" dxfId="144" priority="93" operator="equal">
      <formula>"A"</formula>
    </cfRule>
    <cfRule type="cellIs" dxfId="143" priority="94" operator="equal">
      <formula>"A-"</formula>
    </cfRule>
    <cfRule type="cellIs" dxfId="142" priority="95" operator="equal">
      <formula>"B+"</formula>
    </cfRule>
    <cfRule type="cellIs" dxfId="141" priority="96" operator="equal">
      <formula>"B"</formula>
    </cfRule>
    <cfRule type="cellIs" dxfId="140" priority="97" operator="equal">
      <formula>"B-"</formula>
    </cfRule>
    <cfRule type="cellIs" dxfId="139" priority="98" operator="equal">
      <formula>"C+"</formula>
    </cfRule>
    <cfRule type="cellIs" dxfId="138" priority="99" operator="equal">
      <formula>"C"</formula>
    </cfRule>
    <cfRule type="cellIs" dxfId="137" priority="100" operator="equal">
      <formula>"C-"</formula>
    </cfRule>
    <cfRule type="cellIs" dxfId="136" priority="101" operator="equal">
      <formula>"D+"</formula>
    </cfRule>
    <cfRule type="cellIs" dxfId="135" priority="102" operator="equal">
      <formula>"D"</formula>
    </cfRule>
    <cfRule type="cellIs" dxfId="134" priority="103" operator="equal">
      <formula>"D-"</formula>
    </cfRule>
    <cfRule type="cellIs" dxfId="133" priority="104" operator="equal">
      <formula>"F"</formula>
    </cfRule>
    <cfRule type="notContainsBlanks" dxfId="132" priority="105">
      <formula>LEN(TRIM(N2))&gt;0</formula>
    </cfRule>
  </conditionalFormatting>
  <conditionalFormatting sqref="O2:O49">
    <cfRule type="cellIs" dxfId="131" priority="106" operator="equal">
      <formula>"A+"</formula>
    </cfRule>
    <cfRule type="cellIs" dxfId="130" priority="107" operator="equal">
      <formula>"A"</formula>
    </cfRule>
    <cfRule type="cellIs" dxfId="129" priority="108" operator="equal">
      <formula>"A-"</formula>
    </cfRule>
    <cfRule type="cellIs" dxfId="128" priority="109" operator="equal">
      <formula>"B+"</formula>
    </cfRule>
    <cfRule type="cellIs" dxfId="127" priority="110" operator="equal">
      <formula>"B"</formula>
    </cfRule>
    <cfRule type="cellIs" dxfId="126" priority="111" operator="equal">
      <formula>"B-"</formula>
    </cfRule>
    <cfRule type="cellIs" dxfId="125" priority="112" operator="equal">
      <formula>"C+"</formula>
    </cfRule>
    <cfRule type="cellIs" dxfId="124" priority="113" operator="equal">
      <formula>"C"</formula>
    </cfRule>
    <cfRule type="cellIs" dxfId="123" priority="114" operator="equal">
      <formula>"C-"</formula>
    </cfRule>
    <cfRule type="cellIs" dxfId="122" priority="115" operator="equal">
      <formula>"D+"</formula>
    </cfRule>
    <cfRule type="cellIs" dxfId="121" priority="116" operator="equal">
      <formula>"D"</formula>
    </cfRule>
    <cfRule type="cellIs" dxfId="120" priority="117" operator="equal">
      <formula>"D-"</formula>
    </cfRule>
    <cfRule type="cellIs" dxfId="119" priority="118" operator="equal">
      <formula>"F"</formula>
    </cfRule>
    <cfRule type="notContainsBlanks" dxfId="118" priority="119">
      <formula>LEN(TRIM(O2))&gt;0</formula>
    </cfRule>
  </conditionalFormatting>
  <conditionalFormatting sqref="P2:P49">
    <cfRule type="cellIs" dxfId="117" priority="120" operator="equal">
      <formula>"A+"</formula>
    </cfRule>
    <cfRule type="cellIs" dxfId="116" priority="121" operator="equal">
      <formula>"A"</formula>
    </cfRule>
    <cfRule type="cellIs" dxfId="115" priority="122" operator="equal">
      <formula>"A-"</formula>
    </cfRule>
    <cfRule type="cellIs" dxfId="114" priority="123" operator="equal">
      <formula>"B+"</formula>
    </cfRule>
    <cfRule type="cellIs" dxfId="113" priority="124" operator="equal">
      <formula>"B"</formula>
    </cfRule>
    <cfRule type="cellIs" dxfId="112" priority="125" operator="equal">
      <formula>"B-"</formula>
    </cfRule>
    <cfRule type="cellIs" dxfId="111" priority="126" operator="equal">
      <formula>"C+"</formula>
    </cfRule>
    <cfRule type="cellIs" dxfId="110" priority="127" operator="equal">
      <formula>"C"</formula>
    </cfRule>
    <cfRule type="cellIs" dxfId="109" priority="128" operator="equal">
      <formula>"C-"</formula>
    </cfRule>
    <cfRule type="cellIs" dxfId="108" priority="129" operator="equal">
      <formula>"D+"</formula>
    </cfRule>
    <cfRule type="cellIs" dxfId="107" priority="130" operator="equal">
      <formula>"D"</formula>
    </cfRule>
    <cfRule type="cellIs" dxfId="106" priority="131" operator="equal">
      <formula>"D-"</formula>
    </cfRule>
    <cfRule type="cellIs" dxfId="105" priority="132" operator="equal">
      <formula>"F"</formula>
    </cfRule>
    <cfRule type="notContainsBlanks" dxfId="104" priority="133">
      <formula>LEN(TRIM(P2))&gt;0</formula>
    </cfRule>
  </conditionalFormatting>
  <conditionalFormatting sqref="Q2:Q49">
    <cfRule type="cellIs" dxfId="103" priority="134" operator="equal">
      <formula>"A+"</formula>
    </cfRule>
    <cfRule type="cellIs" dxfId="102" priority="135" operator="equal">
      <formula>"A"</formula>
    </cfRule>
    <cfRule type="cellIs" dxfId="101" priority="136" operator="equal">
      <formula>"A-"</formula>
    </cfRule>
    <cfRule type="cellIs" dxfId="100" priority="137" operator="equal">
      <formula>"B+"</formula>
    </cfRule>
    <cfRule type="cellIs" dxfId="99" priority="138" operator="equal">
      <formula>"B"</formula>
    </cfRule>
    <cfRule type="cellIs" dxfId="98" priority="139" operator="equal">
      <formula>"B-"</formula>
    </cfRule>
    <cfRule type="cellIs" dxfId="97" priority="140" operator="equal">
      <formula>"C+"</formula>
    </cfRule>
    <cfRule type="cellIs" dxfId="96" priority="141" operator="equal">
      <formula>"C"</formula>
    </cfRule>
    <cfRule type="cellIs" dxfId="95" priority="142" operator="equal">
      <formula>"C-"</formula>
    </cfRule>
    <cfRule type="cellIs" dxfId="94" priority="143" operator="equal">
      <formula>"D+"</formula>
    </cfRule>
    <cfRule type="cellIs" dxfId="93" priority="144" operator="equal">
      <formula>"D"</formula>
    </cfRule>
    <cfRule type="cellIs" dxfId="92" priority="145" operator="equal">
      <formula>"D-"</formula>
    </cfRule>
    <cfRule type="cellIs" dxfId="91" priority="146" operator="equal">
      <formula>"F"</formula>
    </cfRule>
    <cfRule type="notContainsBlanks" dxfId="90" priority="147">
      <formula>LEN(TRIM(Q2))&gt;0</formula>
    </cfRule>
  </conditionalFormatting>
  <conditionalFormatting sqref="R2:R49">
    <cfRule type="cellIs" dxfId="89" priority="148" operator="equal">
      <formula>"A+"</formula>
    </cfRule>
    <cfRule type="cellIs" dxfId="88" priority="149" operator="equal">
      <formula>"A"</formula>
    </cfRule>
    <cfRule type="cellIs" dxfId="87" priority="150" operator="equal">
      <formula>"A-"</formula>
    </cfRule>
    <cfRule type="cellIs" dxfId="86" priority="151" operator="equal">
      <formula>"B+"</formula>
    </cfRule>
    <cfRule type="cellIs" dxfId="85" priority="152" operator="equal">
      <formula>"B"</formula>
    </cfRule>
    <cfRule type="cellIs" dxfId="84" priority="153" operator="equal">
      <formula>"B-"</formula>
    </cfRule>
    <cfRule type="cellIs" dxfId="83" priority="154" operator="equal">
      <formula>"C+"</formula>
    </cfRule>
    <cfRule type="cellIs" dxfId="82" priority="155" operator="equal">
      <formula>"C"</formula>
    </cfRule>
    <cfRule type="cellIs" dxfId="81" priority="156" operator="equal">
      <formula>"C-"</formula>
    </cfRule>
    <cfRule type="cellIs" dxfId="80" priority="157" operator="equal">
      <formula>"D+"</formula>
    </cfRule>
    <cfRule type="cellIs" dxfId="79" priority="158" operator="equal">
      <formula>"D"</formula>
    </cfRule>
    <cfRule type="cellIs" dxfId="78" priority="159" operator="equal">
      <formula>"D-"</formula>
    </cfRule>
    <cfRule type="cellIs" dxfId="77" priority="160" operator="equal">
      <formula>"F"</formula>
    </cfRule>
    <cfRule type="notContainsBlanks" dxfId="76" priority="161">
      <formula>LEN(TRIM(R2))&gt;0</formula>
    </cfRule>
  </conditionalFormatting>
  <conditionalFormatting sqref="S2:S49">
    <cfRule type="cellIs" dxfId="75" priority="162" operator="equal">
      <formula>"A+"</formula>
    </cfRule>
    <cfRule type="cellIs" dxfId="74" priority="163" operator="equal">
      <formula>"A"</formula>
    </cfRule>
    <cfRule type="cellIs" dxfId="73" priority="164" operator="equal">
      <formula>"A-"</formula>
    </cfRule>
    <cfRule type="cellIs" dxfId="72" priority="165" operator="equal">
      <formula>"B+"</formula>
    </cfRule>
    <cfRule type="cellIs" dxfId="71" priority="166" operator="equal">
      <formula>"B"</formula>
    </cfRule>
    <cfRule type="cellIs" dxfId="70" priority="167" operator="equal">
      <formula>"B-"</formula>
    </cfRule>
    <cfRule type="cellIs" dxfId="69" priority="168" operator="equal">
      <formula>"C+"</formula>
    </cfRule>
    <cfRule type="cellIs" dxfId="68" priority="169" operator="equal">
      <formula>"C"</formula>
    </cfRule>
    <cfRule type="cellIs" dxfId="67" priority="170" operator="equal">
      <formula>"C-"</formula>
    </cfRule>
    <cfRule type="cellIs" dxfId="66" priority="171" operator="equal">
      <formula>"D+"</formula>
    </cfRule>
    <cfRule type="cellIs" dxfId="65" priority="172" operator="equal">
      <formula>"D"</formula>
    </cfRule>
    <cfRule type="cellIs" dxfId="64" priority="173" operator="equal">
      <formula>"D-"</formula>
    </cfRule>
    <cfRule type="cellIs" dxfId="63" priority="174" operator="equal">
      <formula>"F"</formula>
    </cfRule>
    <cfRule type="notContainsBlanks" dxfId="62" priority="175">
      <formula>LEN(TRIM(S2))&gt;0</formula>
    </cfRule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Ratings</vt:lpstr>
      <vt:lpstr>Holdings</vt:lpstr>
      <vt:lpstr>Dividends</vt:lpstr>
      <vt:lpstr>excel</vt:lpstr>
      <vt:lpstr>Excel view including prices</vt:lpstr>
      <vt:lpstr>allocation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2026-08-11T02:54:32Z</dcterms:created>
  <dcterms:modified xsi:type="dcterms:W3CDTF">2026-08-11T02:57:57Z</dcterms:modified>
</cp:coreProperties>
</file>